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1"/>
  </bookViews>
  <sheets>
    <sheet name="Steps" sheetId="4" r:id="rId1"/>
    <sheet name="Main" sheetId="1" r:id="rId2"/>
    <sheet name="Paste_Trade_Hist" sheetId="2" r:id="rId3"/>
  </sheets>
  <calcPr calcId="152511"/>
</workbook>
</file>

<file path=xl/calcChain.xml><?xml version="1.0" encoding="utf-8"?>
<calcChain xmlns="http://schemas.openxmlformats.org/spreadsheetml/2006/main">
  <c r="F9" i="1" l="1"/>
  <c r="F3" i="1"/>
  <c r="F4" i="1"/>
  <c r="F5" i="1"/>
  <c r="F6" i="1"/>
  <c r="F7" i="1"/>
  <c r="F8" i="1"/>
  <c r="F2" i="1"/>
  <c r="E8" i="1"/>
  <c r="E7" i="1"/>
  <c r="E6" i="1"/>
  <c r="E5" i="1"/>
  <c r="E4" i="1"/>
  <c r="E3" i="1"/>
  <c r="E2" i="1"/>
  <c r="E9" i="1"/>
  <c r="D8" i="1"/>
  <c r="D7" i="1"/>
  <c r="D6" i="1"/>
  <c r="D5" i="1"/>
  <c r="D4" i="1"/>
  <c r="D3" i="1"/>
  <c r="D2" i="1"/>
  <c r="C8" i="1"/>
  <c r="C7" i="1"/>
  <c r="C6" i="1"/>
  <c r="C5" i="1"/>
  <c r="C4" i="1"/>
  <c r="C3" i="1"/>
  <c r="C2" i="1"/>
  <c r="C9" i="1" l="1"/>
  <c r="D9" i="1"/>
</calcChain>
</file>

<file path=xl/sharedStrings.xml><?xml version="1.0" encoding="utf-8"?>
<sst xmlns="http://schemas.openxmlformats.org/spreadsheetml/2006/main" count="943" uniqueCount="137">
  <si>
    <t>ADAUSDT</t>
  </si>
  <si>
    <t>LINKUSDT</t>
  </si>
  <si>
    <t>XTZUSDT</t>
  </si>
  <si>
    <t>ETHUSDT</t>
  </si>
  <si>
    <t>EOSUSDT</t>
  </si>
  <si>
    <t>BTCUSDT</t>
  </si>
  <si>
    <t>XRPUSDT</t>
  </si>
  <si>
    <t>Pair</t>
  </si>
  <si>
    <t>Date(UTC)</t>
  </si>
  <si>
    <t>Symbol</t>
  </si>
  <si>
    <t>Side</t>
  </si>
  <si>
    <t>Price</t>
  </si>
  <si>
    <t>Quantity</t>
  </si>
  <si>
    <t>Amount</t>
  </si>
  <si>
    <t>Fee</t>
  </si>
  <si>
    <t>Fee Coin</t>
  </si>
  <si>
    <t>Realized Profit</t>
  </si>
  <si>
    <t>Quote Asset</t>
  </si>
  <si>
    <t>2020-07-02 15:54:03</t>
  </si>
  <si>
    <t>SELL</t>
  </si>
  <si>
    <t>USDT</t>
  </si>
  <si>
    <t>2020-07-02 15:19:01</t>
  </si>
  <si>
    <t>BUY</t>
  </si>
  <si>
    <t>2020-07-02 15:05:06</t>
  </si>
  <si>
    <t>2020-07-02 15:05:05</t>
  </si>
  <si>
    <t>2020-07-02 15:05:04</t>
  </si>
  <si>
    <t>2020-07-02 15:05:03</t>
  </si>
  <si>
    <t>2020-07-02 14:06:04</t>
  </si>
  <si>
    <t>2020-07-02 14:06:01</t>
  </si>
  <si>
    <t>2020-07-02 13:45:06</t>
  </si>
  <si>
    <t>2020-07-02 13:45:03</t>
  </si>
  <si>
    <t>2020-07-02 13:37:27</t>
  </si>
  <si>
    <t>2020-07-02 13:37:25</t>
  </si>
  <si>
    <t>2020-07-02 13:19:04</t>
  </si>
  <si>
    <t>2020-07-02 13:19:01</t>
  </si>
  <si>
    <t>2020-07-02 12:19:04</t>
  </si>
  <si>
    <t>2020-07-02 12:19:02</t>
  </si>
  <si>
    <t>2020-07-02 11:17:04</t>
  </si>
  <si>
    <t>2020-07-02 11:17:02</t>
  </si>
  <si>
    <t>2020-07-02 10:57:07</t>
  </si>
  <si>
    <t>2020-07-02 10:57:05</t>
  </si>
  <si>
    <t>2020-07-02 09:38:05</t>
  </si>
  <si>
    <t>2020-07-02 09:38:03</t>
  </si>
  <si>
    <t>2020-07-02 08:56:05</t>
  </si>
  <si>
    <t>2020-07-02 08:56:03</t>
  </si>
  <si>
    <t>2020-07-02 08:46:03</t>
  </si>
  <si>
    <t>2020-07-02 08:46:01</t>
  </si>
  <si>
    <t>2020-07-02 08:30:12</t>
  </si>
  <si>
    <t>2020-07-02 08:30:10</t>
  </si>
  <si>
    <t>2020-07-02 06:52:12</t>
  </si>
  <si>
    <t>2020-07-02 06:52:06</t>
  </si>
  <si>
    <t>2020-07-02 05:53:03</t>
  </si>
  <si>
    <t>2020-07-02 05:40:04</t>
  </si>
  <si>
    <t>2020-07-02 05:40:02</t>
  </si>
  <si>
    <t>2020-07-02 05:12:05</t>
  </si>
  <si>
    <t>2020-07-02 05:12:03</t>
  </si>
  <si>
    <t>2020-07-02 04:40:04</t>
  </si>
  <si>
    <t>2020-07-02 04:40:02</t>
  </si>
  <si>
    <t>2020-07-02 04:10:06</t>
  </si>
  <si>
    <t>2020-07-02 04:10:04</t>
  </si>
  <si>
    <t>2020-07-02 02:14:11</t>
  </si>
  <si>
    <t>2020-07-02 02:14:09</t>
  </si>
  <si>
    <t>2020-07-02 01:05:04</t>
  </si>
  <si>
    <t>2020-07-02 01:05:01</t>
  </si>
  <si>
    <t>2020-07-02 00:07:03</t>
  </si>
  <si>
    <t>2020-07-02 00:07:01</t>
  </si>
  <si>
    <t>2020-07-01 23:58:04</t>
  </si>
  <si>
    <t>2020-07-01 23:58:01</t>
  </si>
  <si>
    <t>2020-07-01 23:43:05</t>
  </si>
  <si>
    <t>2020-07-01 23:43:03</t>
  </si>
  <si>
    <t>2020-07-01 22:52:06</t>
  </si>
  <si>
    <t>2020-07-01 22:52:05</t>
  </si>
  <si>
    <t>2020-07-01 22:33:12</t>
  </si>
  <si>
    <t>2020-07-01 22:33:09</t>
  </si>
  <si>
    <t>2020-07-01 20:22:16</t>
  </si>
  <si>
    <t>2020-07-01 20:22:10</t>
  </si>
  <si>
    <t>2020-07-01 19:58:05</t>
  </si>
  <si>
    <t>2020-07-01 19:58:03</t>
  </si>
  <si>
    <t>2020-07-01 19:01:22</t>
  </si>
  <si>
    <t>2020-07-01 17:38:04</t>
  </si>
  <si>
    <t>2020-07-01 17:38:02</t>
  </si>
  <si>
    <t>2020-07-01 17:07:03</t>
  </si>
  <si>
    <t>2020-07-01 17:07:01</t>
  </si>
  <si>
    <t>2020-07-01 17:00:06</t>
  </si>
  <si>
    <t>2020-07-01 17:00:04</t>
  </si>
  <si>
    <t>2020-07-01 16:48:05</t>
  </si>
  <si>
    <t>2020-07-01 16:48:03</t>
  </si>
  <si>
    <t>2020-07-01 15:52:03</t>
  </si>
  <si>
    <t>2020-07-01 15:52:01</t>
  </si>
  <si>
    <t>2020-07-01 14:51:05</t>
  </si>
  <si>
    <t>2020-07-01 14:51:03</t>
  </si>
  <si>
    <t>2020-07-01 14:06:04</t>
  </si>
  <si>
    <t>2020-07-01 14:06:02</t>
  </si>
  <si>
    <t>2020-07-01 13:49:05</t>
  </si>
  <si>
    <t>2020-07-01 13:49:03</t>
  </si>
  <si>
    <t>2020-07-01 13:44:03</t>
  </si>
  <si>
    <t>2020-07-01 13:44:01</t>
  </si>
  <si>
    <t>2020-07-01 13:43:07</t>
  </si>
  <si>
    <t>2020-07-01 01:51:05</t>
  </si>
  <si>
    <t>2020-07-01 00:15:05</t>
  </si>
  <si>
    <t>2020-07-01 00:06:05</t>
  </si>
  <si>
    <t>2020-06-30 23:00:35</t>
  </si>
  <si>
    <t>2020-06-30 23:00:33</t>
  </si>
  <si>
    <t>2020-07-02 18:09:03</t>
  </si>
  <si>
    <t>2020-07-02 18:09:01</t>
  </si>
  <si>
    <t>2020-07-02 18:08:05</t>
  </si>
  <si>
    <t>2020-07-02 17:35:03</t>
  </si>
  <si>
    <t>2020-07-02 17:35:01</t>
  </si>
  <si>
    <t>2020-07-02 17:18:04</t>
  </si>
  <si>
    <t>2020-07-02 17:18:02</t>
  </si>
  <si>
    <t>2020-07-02 16:53:10</t>
  </si>
  <si>
    <t>2020-07-02 16:53:08</t>
  </si>
  <si>
    <t>2020-07-02 16:43:04</t>
  </si>
  <si>
    <t>2020-07-02 16:43:02</t>
  </si>
  <si>
    <t>2020-07-02 16:39:03</t>
  </si>
  <si>
    <t>2020-07-02 16:39:01</t>
  </si>
  <si>
    <t>2020-07-02 16:36:04</t>
  </si>
  <si>
    <t>2020-07-02 16:36:02</t>
  </si>
  <si>
    <t>2020-07-02 16:28:04</t>
  </si>
  <si>
    <t>2020-07-02 16:28:02</t>
  </si>
  <si>
    <t>2020-07-02 16:21:05</t>
  </si>
  <si>
    <t>2020-07-02 16:21:03</t>
  </si>
  <si>
    <t>1. Export your Trade History (Perpetual) From Binance. See adjacent snapshot.</t>
  </si>
  <si>
    <t xml:space="preserve">2. Open this P&amp;L_Analysis spreadsheet. Make sure that you Delete previous contents of </t>
  </si>
  <si>
    <t>3.  Paste Trade History from Exported spreadsheet into Tab named "Paste_Trade_Hist"</t>
  </si>
  <si>
    <t xml:space="preserve">    "Paste_Trade_Hist" Tab first.  </t>
  </si>
  <si>
    <t>4.  Calculations will not appear in Main Tab as the pasted values need to be converted to Number Format</t>
  </si>
  <si>
    <t>Spreadhsheet for P&amp;L Analysis (Steps)</t>
  </si>
  <si>
    <t>SEE PIC BELOW</t>
  </si>
  <si>
    <t>Total</t>
  </si>
  <si>
    <t>Equity per coin</t>
  </si>
  <si>
    <t>Net P&amp;L(%)</t>
  </si>
  <si>
    <t>Net P&amp;L($)</t>
  </si>
  <si>
    <t>Trading Cost($)</t>
  </si>
  <si>
    <t>Gross P&amp;L($)</t>
  </si>
  <si>
    <t>Inputs are in Orange</t>
  </si>
  <si>
    <t>Total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</si>
</sst>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_);[Red]\(0.0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0"/>
      <color indexed="8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26">
    <xf numFmtId="0" fontId="0" fillId="0" borderId="0" xfId="0"/>
    <xf numFmtId="0" fontId="5" fillId="0" borderId="1" xfId="2" applyFont="1" applyBorder="1" applyAlignment="1">
      <alignment horizontal="center"/>
    </xf>
    <xf numFmtId="0" fontId="4" fillId="0" borderId="0" xfId="2"/>
    <xf numFmtId="0" fontId="3" fillId="0" borderId="1" xfId="2" applyFont="1" applyBorder="1" applyAlignment="1">
      <alignment horizontal="center"/>
    </xf>
    <xf numFmtId="0" fontId="3" fillId="0" borderId="1" xfId="2" applyNumberFormat="1" applyFont="1" applyBorder="1" applyAlignment="1">
      <alignment horizontal="center"/>
    </xf>
    <xf numFmtId="0" fontId="4" fillId="0" borderId="0" xfId="2" applyNumberFormat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6" fillId="0" borderId="6" xfId="0" applyNumberFormat="1" applyFont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5" fontId="0" fillId="0" borderId="8" xfId="0" applyNumberFormat="1" applyBorder="1"/>
    <xf numFmtId="165" fontId="0" fillId="0" borderId="9" xfId="0" applyNumberFormat="1" applyBorder="1"/>
    <xf numFmtId="10" fontId="0" fillId="0" borderId="9" xfId="1" applyNumberFormat="1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0" fontId="0" fillId="2" borderId="0" xfId="0" applyFill="1"/>
    <xf numFmtId="10" fontId="6" fillId="0" borderId="10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5510</xdr:colOff>
      <xdr:row>1</xdr:row>
      <xdr:rowOff>19051</xdr:rowOff>
    </xdr:from>
    <xdr:to>
      <xdr:col>7</xdr:col>
      <xdr:colOff>466725</xdr:colOff>
      <xdr:row>20</xdr:row>
      <xdr:rowOff>156783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6" r="52031" b="8930"/>
        <a:stretch/>
      </xdr:blipFill>
      <xdr:spPr>
        <a:xfrm>
          <a:off x="6768260" y="209551"/>
          <a:ext cx="3509215" cy="3757232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295274</xdr:colOff>
      <xdr:row>10</xdr:row>
      <xdr:rowOff>114299</xdr:rowOff>
    </xdr:from>
    <xdr:to>
      <xdr:col>1</xdr:col>
      <xdr:colOff>302893</xdr:colOff>
      <xdr:row>22</xdr:row>
      <xdr:rowOff>161925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38" t="25705" r="2703" b="11599"/>
        <a:stretch/>
      </xdr:blipFill>
      <xdr:spPr>
        <a:xfrm>
          <a:off x="295274" y="2019299"/>
          <a:ext cx="6160769" cy="2333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10"/>
  <sheetViews>
    <sheetView workbookViewId="0">
      <selection activeCell="A10" sqref="A10"/>
    </sheetView>
  </sheetViews>
  <sheetFormatPr defaultRowHeight="15" x14ac:dyDescent="0.25"/>
  <cols>
    <col min="1" max="1" width="92.28515625" customWidth="1"/>
  </cols>
  <sheetData>
    <row r="1" spans="1:1" x14ac:dyDescent="0.25">
      <c r="A1" s="7" t="s">
        <v>127</v>
      </c>
    </row>
    <row r="2" spans="1:1" x14ac:dyDescent="0.25">
      <c r="A2" t="s">
        <v>122</v>
      </c>
    </row>
    <row r="4" spans="1:1" x14ac:dyDescent="0.25">
      <c r="A4" s="6" t="s">
        <v>123</v>
      </c>
    </row>
    <row r="5" spans="1:1" x14ac:dyDescent="0.25">
      <c r="A5" t="s">
        <v>125</v>
      </c>
    </row>
    <row r="7" spans="1:1" x14ac:dyDescent="0.25">
      <c r="A7" t="s">
        <v>124</v>
      </c>
    </row>
    <row r="9" spans="1:1" x14ac:dyDescent="0.25">
      <c r="A9" t="s">
        <v>126</v>
      </c>
    </row>
    <row r="10" spans="1:1" x14ac:dyDescent="0.25">
      <c r="A10" s="8" t="s">
        <v>128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</sheetPr>
  <dimension ref="B1:L9"/>
  <sheetViews>
    <sheetView tabSelected="1" workbookViewId="0">
      <selection activeCell="N13" sqref="N13"/>
    </sheetView>
  </sheetViews>
  <sheetFormatPr defaultRowHeight="15" x14ac:dyDescent="0.25"/>
  <cols>
    <col min="2" max="2" width="11.140625" customWidth="1"/>
    <col min="3" max="3" width="12.42578125" bestFit="1" customWidth="1"/>
    <col min="4" max="4" width="14.42578125" customWidth="1"/>
    <col min="5" max="5" width="11.7109375" customWidth="1"/>
    <col min="6" max="6" width="11.28515625" bestFit="1" customWidth="1"/>
    <col min="9" max="9" width="14.28515625" bestFit="1" customWidth="1"/>
  </cols>
  <sheetData>
    <row r="1" spans="2:12" ht="15.75" thickBot="1" x14ac:dyDescent="0.3">
      <c r="B1" s="12" t="s">
        <v>7</v>
      </c>
      <c r="C1" s="13" t="s">
        <v>134</v>
      </c>
      <c r="D1" s="14" t="s">
        <v>133</v>
      </c>
      <c r="E1" s="19" t="s">
        <v>132</v>
      </c>
      <c r="F1" s="19" t="s">
        <v>131</v>
      </c>
      <c r="I1" t="s">
        <v>130</v>
      </c>
      <c r="J1" s="24">
        <v>400</v>
      </c>
      <c r="L1" s="7" t="s">
        <v>135</v>
      </c>
    </row>
    <row r="2" spans="2:12" x14ac:dyDescent="0.25">
      <c r="B2" s="9" t="s">
        <v>0</v>
      </c>
      <c r="C2" s="10">
        <f>SUMIF(Paste_Trade_Hist!$B:$B,Main!$B2,Paste_Trade_Hist!I:I)</f>
        <v>8.8152600599999964</v>
      </c>
      <c r="D2" s="11">
        <f>SUMIF(Paste_Trade_Hist!$B:$B,Main!$B2,Paste_Trade_Hist!G:G)</f>
        <v>8.4436875500000053</v>
      </c>
      <c r="E2" s="20">
        <f>C2-D2</f>
        <v>0.37157250999999114</v>
      </c>
      <c r="F2" s="22">
        <f>E2/$J$1</f>
        <v>9.289312749999779E-4</v>
      </c>
      <c r="I2" t="s">
        <v>136</v>
      </c>
      <c r="J2" s="24">
        <v>2800</v>
      </c>
    </row>
    <row r="3" spans="2:12" x14ac:dyDescent="0.25">
      <c r="B3" s="9" t="s">
        <v>1</v>
      </c>
      <c r="C3" s="10">
        <f>SUMIF(Paste_Trade_Hist!$B:$B,Main!$B3,Paste_Trade_Hist!I:I)</f>
        <v>-10.961270010000002</v>
      </c>
      <c r="D3" s="11">
        <f>SUMIF(Paste_Trade_Hist!$B:$B,Main!$B3,Paste_Trade_Hist!G:G)</f>
        <v>1.2559938400000001</v>
      </c>
      <c r="E3" s="21">
        <f t="shared" ref="E3:E8" si="0">C3-D3</f>
        <v>-12.217263850000002</v>
      </c>
      <c r="F3" s="22">
        <f t="shared" ref="F3:F8" si="1">E3/$J$1</f>
        <v>-3.0543159625000003E-2</v>
      </c>
    </row>
    <row r="4" spans="2:12" x14ac:dyDescent="0.25">
      <c r="B4" s="9" t="s">
        <v>2</v>
      </c>
      <c r="C4" s="10">
        <f>SUMIF(Paste_Trade_Hist!$B:$B,Main!$B4,Paste_Trade_Hist!I:I)</f>
        <v>-1.4011</v>
      </c>
      <c r="D4" s="11">
        <f>SUMIF(Paste_Trade_Hist!$B:$B,Main!$B4,Paste_Trade_Hist!G:G)</f>
        <v>0.78995400999999998</v>
      </c>
      <c r="E4" s="21">
        <f t="shared" si="0"/>
        <v>-2.1910540100000002</v>
      </c>
      <c r="F4" s="22">
        <f t="shared" si="1"/>
        <v>-5.4776350250000001E-3</v>
      </c>
    </row>
    <row r="5" spans="2:12" x14ac:dyDescent="0.25">
      <c r="B5" s="9" t="s">
        <v>3</v>
      </c>
      <c r="C5" s="10">
        <f>SUMIF(Paste_Trade_Hist!$B:$B,Main!$B5,Paste_Trade_Hist!I:I)</f>
        <v>-6.9546099999999988</v>
      </c>
      <c r="D5" s="11">
        <f>SUMIF(Paste_Trade_Hist!$B:$B,Main!$B5,Paste_Trade_Hist!G:G)</f>
        <v>0.57414064999999981</v>
      </c>
      <c r="E5" s="21">
        <f t="shared" si="0"/>
        <v>-7.5287506499999983</v>
      </c>
      <c r="F5" s="22">
        <f t="shared" si="1"/>
        <v>-1.8821876624999997E-2</v>
      </c>
    </row>
    <row r="6" spans="2:12" x14ac:dyDescent="0.25">
      <c r="B6" s="9" t="s">
        <v>4</v>
      </c>
      <c r="C6" s="10">
        <f>SUMIF(Paste_Trade_Hist!$B:$B,Main!$B6,Paste_Trade_Hist!I:I)</f>
        <v>-10.149000000000001</v>
      </c>
      <c r="D6" s="11">
        <f>SUMIF(Paste_Trade_Hist!$B:$B,Main!$B6,Paste_Trade_Hist!G:G)</f>
        <v>0.33815314000000002</v>
      </c>
      <c r="E6" s="21">
        <f t="shared" si="0"/>
        <v>-10.48715314</v>
      </c>
      <c r="F6" s="22">
        <f t="shared" si="1"/>
        <v>-2.6217882849999999E-2</v>
      </c>
    </row>
    <row r="7" spans="2:12" x14ac:dyDescent="0.25">
      <c r="B7" s="9" t="s">
        <v>5</v>
      </c>
      <c r="C7" s="10">
        <f>SUMIF(Paste_Trade_Hist!$B:$B,Main!$B7,Paste_Trade_Hist!I:I)</f>
        <v>-0.20025999999999999</v>
      </c>
      <c r="D7" s="11">
        <f>SUMIF(Paste_Trade_Hist!$B:$B,Main!$B7,Paste_Trade_Hist!G:G)</f>
        <v>0.33706261000000004</v>
      </c>
      <c r="E7" s="21">
        <f t="shared" si="0"/>
        <v>-0.53732261000000003</v>
      </c>
      <c r="F7" s="22">
        <f t="shared" si="1"/>
        <v>-1.3433065250000001E-3</v>
      </c>
    </row>
    <row r="8" spans="2:12" ht="15.75" thickBot="1" x14ac:dyDescent="0.3">
      <c r="B8" s="9" t="s">
        <v>6</v>
      </c>
      <c r="C8" s="10">
        <f>SUMIF(Paste_Trade_Hist!$B:$B,Main!$B8,Paste_Trade_Hist!I:I)</f>
        <v>0</v>
      </c>
      <c r="D8" s="11">
        <f>SUMIF(Paste_Trade_Hist!$B:$B,Main!$B8,Paste_Trade_Hist!G:G)</f>
        <v>0.11430153999999999</v>
      </c>
      <c r="E8" s="21">
        <f t="shared" si="0"/>
        <v>-0.11430153999999999</v>
      </c>
      <c r="F8" s="23">
        <f t="shared" si="1"/>
        <v>-2.8575384999999999E-4</v>
      </c>
    </row>
    <row r="9" spans="2:12" ht="19.5" thickBot="1" x14ac:dyDescent="0.35">
      <c r="B9" s="15" t="s">
        <v>129</v>
      </c>
      <c r="C9" s="16">
        <f>SUM(C2:C8)</f>
        <v>-20.850979950000003</v>
      </c>
      <c r="D9" s="17">
        <f>SUM(D2:D8)</f>
        <v>11.853293340000006</v>
      </c>
      <c r="E9" s="18">
        <f>C9-D9</f>
        <v>-32.70427329000001</v>
      </c>
      <c r="F9" s="25">
        <f>E9/J2</f>
        <v>-1.1680097603571433E-2</v>
      </c>
    </row>
  </sheetData>
  <conditionalFormatting sqref="C8:C9">
    <cfRule type="cellIs" dxfId="14" priority="9" operator="greaterThan">
      <formula>0</formula>
    </cfRule>
    <cfRule type="cellIs" dxfId="13" priority="8" operator="lessThan">
      <formula>0</formula>
    </cfRule>
  </conditionalFormatting>
  <conditionalFormatting sqref="E9">
    <cfRule type="cellIs" dxfId="12" priority="6" operator="greaterThan">
      <formula>0</formula>
    </cfRule>
    <cfRule type="cellIs" dxfId="11" priority="5" operator="lessThan">
      <formula>0</formula>
    </cfRule>
  </conditionalFormatting>
  <conditionalFormatting sqref="E2:F8">
    <cfRule type="cellIs" dxfId="4" priority="4" operator="greaterThan">
      <formula>0</formula>
    </cfRule>
    <cfRule type="cellIs" dxfId="5" priority="3" operator="lessThan">
      <formula>0</formula>
    </cfRule>
  </conditionalFormatting>
  <conditionalFormatting sqref="F9">
    <cfRule type="cellIs" dxfId="2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J183"/>
  <sheetViews>
    <sheetView workbookViewId="0">
      <selection activeCell="B2" sqref="B2"/>
    </sheetView>
  </sheetViews>
  <sheetFormatPr defaultRowHeight="15" x14ac:dyDescent="0.25"/>
  <cols>
    <col min="1" max="10" width="20.85546875" style="2" customWidth="1"/>
    <col min="11" max="16384" width="9.140625" style="2"/>
  </cols>
  <sheetData>
    <row r="1" spans="1:10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</row>
    <row r="2" spans="1:10" x14ac:dyDescent="0.25">
      <c r="A2" s="3" t="s">
        <v>103</v>
      </c>
      <c r="B2" s="3" t="s">
        <v>1</v>
      </c>
      <c r="C2" s="3" t="s">
        <v>22</v>
      </c>
      <c r="D2" s="4">
        <v>4.7329999999999997</v>
      </c>
      <c r="E2" s="4">
        <v>43.8</v>
      </c>
      <c r="F2" s="4">
        <v>207.30539999999999</v>
      </c>
      <c r="G2" s="4">
        <v>8.292215E-2</v>
      </c>
      <c r="H2" s="3" t="s">
        <v>20</v>
      </c>
      <c r="I2" s="4">
        <v>0</v>
      </c>
      <c r="J2" s="3" t="s">
        <v>20</v>
      </c>
    </row>
    <row r="3" spans="1:10" x14ac:dyDescent="0.25">
      <c r="A3" s="3" t="s">
        <v>103</v>
      </c>
      <c r="B3" s="3" t="s">
        <v>1</v>
      </c>
      <c r="C3" s="3" t="s">
        <v>22</v>
      </c>
      <c r="D3" s="4">
        <v>4.7329999999999997</v>
      </c>
      <c r="E3" s="4">
        <v>8.02</v>
      </c>
      <c r="F3" s="4">
        <v>37.958660000000002</v>
      </c>
      <c r="G3" s="4">
        <v>1.5183459999999999E-2</v>
      </c>
      <c r="H3" s="3" t="s">
        <v>20</v>
      </c>
      <c r="I3" s="4">
        <v>0</v>
      </c>
      <c r="J3" s="3" t="s">
        <v>20</v>
      </c>
    </row>
    <row r="4" spans="1:10" x14ac:dyDescent="0.25">
      <c r="A4" s="3" t="s">
        <v>103</v>
      </c>
      <c r="B4" s="3" t="s">
        <v>1</v>
      </c>
      <c r="C4" s="3" t="s">
        <v>22</v>
      </c>
      <c r="D4" s="4">
        <v>4.7329999999999997</v>
      </c>
      <c r="E4" s="4">
        <v>2.2999999999999998</v>
      </c>
      <c r="F4" s="4">
        <v>10.885899999999999</v>
      </c>
      <c r="G4" s="4">
        <v>4.3543599999999998E-3</v>
      </c>
      <c r="H4" s="3" t="s">
        <v>20</v>
      </c>
      <c r="I4" s="4">
        <v>0</v>
      </c>
      <c r="J4" s="3" t="s">
        <v>20</v>
      </c>
    </row>
    <row r="5" spans="1:10" x14ac:dyDescent="0.25">
      <c r="A5" s="3" t="s">
        <v>103</v>
      </c>
      <c r="B5" s="3" t="s">
        <v>1</v>
      </c>
      <c r="C5" s="3" t="s">
        <v>22</v>
      </c>
      <c r="D5" s="4">
        <v>4.7329999999999997</v>
      </c>
      <c r="E5" s="4">
        <v>5.36</v>
      </c>
      <c r="F5" s="4">
        <v>25.368880000000001</v>
      </c>
      <c r="G5" s="4">
        <v>1.014755E-2</v>
      </c>
      <c r="H5" s="3" t="s">
        <v>20</v>
      </c>
      <c r="I5" s="4">
        <v>0</v>
      </c>
      <c r="J5" s="3" t="s">
        <v>20</v>
      </c>
    </row>
    <row r="6" spans="1:10" x14ac:dyDescent="0.25">
      <c r="A6" s="3" t="s">
        <v>104</v>
      </c>
      <c r="B6" s="3" t="s">
        <v>1</v>
      </c>
      <c r="C6" s="3" t="s">
        <v>22</v>
      </c>
      <c r="D6" s="4">
        <v>4.7329999999999997</v>
      </c>
      <c r="E6" s="4">
        <v>22.32</v>
      </c>
      <c r="F6" s="4">
        <v>105.64055999999999</v>
      </c>
      <c r="G6" s="4">
        <v>4.2256219999999997E-2</v>
      </c>
      <c r="H6" s="3" t="s">
        <v>20</v>
      </c>
      <c r="I6" s="4">
        <v>0.63453970000000004</v>
      </c>
      <c r="J6" s="3" t="s">
        <v>20</v>
      </c>
    </row>
    <row r="7" spans="1:10" x14ac:dyDescent="0.25">
      <c r="A7" s="3" t="s">
        <v>104</v>
      </c>
      <c r="B7" s="3" t="s">
        <v>1</v>
      </c>
      <c r="C7" s="3" t="s">
        <v>22</v>
      </c>
      <c r="D7" s="4">
        <v>4.7320000000000002</v>
      </c>
      <c r="E7" s="4">
        <v>20.99</v>
      </c>
      <c r="F7" s="4">
        <v>99.324680000000001</v>
      </c>
      <c r="G7" s="4">
        <v>3.972987E-2</v>
      </c>
      <c r="H7" s="3" t="s">
        <v>20</v>
      </c>
      <c r="I7" s="4">
        <v>0.61771887000000003</v>
      </c>
      <c r="J7" s="3" t="s">
        <v>20</v>
      </c>
    </row>
    <row r="8" spans="1:10" x14ac:dyDescent="0.25">
      <c r="A8" s="3" t="s">
        <v>104</v>
      </c>
      <c r="B8" s="3" t="s">
        <v>1</v>
      </c>
      <c r="C8" s="3" t="s">
        <v>22</v>
      </c>
      <c r="D8" s="4">
        <v>4.7320000000000002</v>
      </c>
      <c r="E8" s="4">
        <v>0.1</v>
      </c>
      <c r="F8" s="4">
        <v>0.47320000000000001</v>
      </c>
      <c r="G8" s="4">
        <v>1.8928E-4</v>
      </c>
      <c r="H8" s="3" t="s">
        <v>20</v>
      </c>
      <c r="I8" s="4">
        <v>2.94291E-3</v>
      </c>
      <c r="J8" s="3" t="s">
        <v>20</v>
      </c>
    </row>
    <row r="9" spans="1:10" x14ac:dyDescent="0.25">
      <c r="A9" s="3" t="s">
        <v>104</v>
      </c>
      <c r="B9" s="3" t="s">
        <v>1</v>
      </c>
      <c r="C9" s="3" t="s">
        <v>22</v>
      </c>
      <c r="D9" s="4">
        <v>4.7320000000000002</v>
      </c>
      <c r="E9" s="4">
        <v>15.84</v>
      </c>
      <c r="F9" s="4">
        <v>74.954880000000003</v>
      </c>
      <c r="G9" s="4">
        <v>2.998195E-2</v>
      </c>
      <c r="H9" s="3" t="s">
        <v>20</v>
      </c>
      <c r="I9" s="4">
        <v>0.46615849999999998</v>
      </c>
      <c r="J9" s="3" t="s">
        <v>20</v>
      </c>
    </row>
    <row r="10" spans="1:10" x14ac:dyDescent="0.25">
      <c r="A10" s="3" t="s">
        <v>105</v>
      </c>
      <c r="B10" s="3" t="s">
        <v>0</v>
      </c>
      <c r="C10" s="3" t="s">
        <v>19</v>
      </c>
      <c r="D10" s="4">
        <v>9.1509999999999994E-2</v>
      </c>
      <c r="E10" s="4">
        <v>3081</v>
      </c>
      <c r="F10" s="4">
        <v>281.94231000000002</v>
      </c>
      <c r="G10" s="4">
        <v>0.11277692</v>
      </c>
      <c r="H10" s="3" t="s">
        <v>20</v>
      </c>
      <c r="I10" s="4">
        <v>0</v>
      </c>
      <c r="J10" s="3" t="s">
        <v>20</v>
      </c>
    </row>
    <row r="11" spans="1:10" x14ac:dyDescent="0.25">
      <c r="A11" s="3" t="s">
        <v>106</v>
      </c>
      <c r="B11" s="3" t="s">
        <v>5</v>
      </c>
      <c r="C11" s="3" t="s">
        <v>22</v>
      </c>
      <c r="D11" s="4">
        <v>9062.77</v>
      </c>
      <c r="E11" s="4">
        <v>3.1E-2</v>
      </c>
      <c r="F11" s="4">
        <v>280.94587000000001</v>
      </c>
      <c r="G11" s="4">
        <v>0.11237833999999999</v>
      </c>
      <c r="H11" s="3" t="s">
        <v>20</v>
      </c>
      <c r="I11" s="4">
        <v>0</v>
      </c>
      <c r="J11" s="3" t="s">
        <v>20</v>
      </c>
    </row>
    <row r="12" spans="1:10" x14ac:dyDescent="0.25">
      <c r="A12" s="3" t="s">
        <v>107</v>
      </c>
      <c r="B12" s="3" t="s">
        <v>5</v>
      </c>
      <c r="C12" s="3" t="s">
        <v>22</v>
      </c>
      <c r="D12" s="4">
        <v>9063.08</v>
      </c>
      <c r="E12" s="4">
        <v>3.1E-2</v>
      </c>
      <c r="F12" s="4">
        <v>280.95548000000002</v>
      </c>
      <c r="G12" s="4">
        <v>0.11238219000000001</v>
      </c>
      <c r="H12" s="3" t="s">
        <v>20</v>
      </c>
      <c r="I12" s="4">
        <v>-0.20025999999999999</v>
      </c>
      <c r="J12" s="3" t="s">
        <v>20</v>
      </c>
    </row>
    <row r="13" spans="1:10" x14ac:dyDescent="0.25">
      <c r="A13" s="3" t="s">
        <v>108</v>
      </c>
      <c r="B13" s="3" t="s">
        <v>0</v>
      </c>
      <c r="C13" s="3" t="s">
        <v>19</v>
      </c>
      <c r="D13" s="4">
        <v>9.0069999999999997E-2</v>
      </c>
      <c r="E13" s="4">
        <v>803</v>
      </c>
      <c r="F13" s="4">
        <v>72.326210000000003</v>
      </c>
      <c r="G13" s="4">
        <v>2.8930480000000001E-2</v>
      </c>
      <c r="H13" s="3" t="s">
        <v>20</v>
      </c>
      <c r="I13" s="4">
        <v>0</v>
      </c>
      <c r="J13" s="3" t="s">
        <v>20</v>
      </c>
    </row>
    <row r="14" spans="1:10" x14ac:dyDescent="0.25">
      <c r="A14" s="3" t="s">
        <v>108</v>
      </c>
      <c r="B14" s="3" t="s">
        <v>0</v>
      </c>
      <c r="C14" s="3" t="s">
        <v>19</v>
      </c>
      <c r="D14" s="4">
        <v>9.0069999999999997E-2</v>
      </c>
      <c r="E14" s="4">
        <v>2336</v>
      </c>
      <c r="F14" s="4">
        <v>210.40351999999999</v>
      </c>
      <c r="G14" s="4">
        <v>8.4161399999999997E-2</v>
      </c>
      <c r="H14" s="3" t="s">
        <v>20</v>
      </c>
      <c r="I14" s="4">
        <v>0</v>
      </c>
      <c r="J14" s="3" t="s">
        <v>20</v>
      </c>
    </row>
    <row r="15" spans="1:10" x14ac:dyDescent="0.25">
      <c r="A15" s="3" t="s">
        <v>109</v>
      </c>
      <c r="B15" s="3" t="s">
        <v>0</v>
      </c>
      <c r="C15" s="3" t="s">
        <v>19</v>
      </c>
      <c r="D15" s="4">
        <v>9.0120000000000006E-2</v>
      </c>
      <c r="E15" s="4">
        <v>3197</v>
      </c>
      <c r="F15" s="4">
        <v>288.11363999999998</v>
      </c>
      <c r="G15" s="4">
        <v>0.11524545</v>
      </c>
      <c r="H15" s="3" t="s">
        <v>20</v>
      </c>
      <c r="I15" s="4">
        <v>4.4118599999999999</v>
      </c>
      <c r="J15" s="3" t="s">
        <v>20</v>
      </c>
    </row>
    <row r="16" spans="1:10" x14ac:dyDescent="0.25">
      <c r="A16" s="3" t="s">
        <v>110</v>
      </c>
      <c r="B16" s="3" t="s">
        <v>2</v>
      </c>
      <c r="C16" s="3" t="s">
        <v>22</v>
      </c>
      <c r="D16" s="4">
        <v>2.3260000000000001</v>
      </c>
      <c r="E16" s="4">
        <v>121.5</v>
      </c>
      <c r="F16" s="4">
        <v>282.60899999999998</v>
      </c>
      <c r="G16" s="4">
        <v>0.11304359999999999</v>
      </c>
      <c r="H16" s="3" t="s">
        <v>20</v>
      </c>
      <c r="I16" s="4">
        <v>0</v>
      </c>
      <c r="J16" s="3" t="s">
        <v>20</v>
      </c>
    </row>
    <row r="17" spans="1:10" x14ac:dyDescent="0.25">
      <c r="A17" s="3" t="s">
        <v>111</v>
      </c>
      <c r="B17" s="3" t="s">
        <v>2</v>
      </c>
      <c r="C17" s="3" t="s">
        <v>22</v>
      </c>
      <c r="D17" s="4">
        <v>2.327</v>
      </c>
      <c r="E17" s="4">
        <v>120.5</v>
      </c>
      <c r="F17" s="4">
        <v>280.40350000000001</v>
      </c>
      <c r="G17" s="4">
        <v>0.11216139</v>
      </c>
      <c r="H17" s="3" t="s">
        <v>20</v>
      </c>
      <c r="I17" s="4">
        <v>1.6870000000000001</v>
      </c>
      <c r="J17" s="3" t="s">
        <v>20</v>
      </c>
    </row>
    <row r="18" spans="1:10" x14ac:dyDescent="0.25">
      <c r="A18" s="3" t="s">
        <v>112</v>
      </c>
      <c r="B18" s="3" t="s">
        <v>0</v>
      </c>
      <c r="C18" s="3" t="s">
        <v>22</v>
      </c>
      <c r="D18" s="4">
        <v>8.8739999999999999E-2</v>
      </c>
      <c r="E18" s="4">
        <v>2181</v>
      </c>
      <c r="F18" s="4">
        <v>193.54194000000001</v>
      </c>
      <c r="G18" s="4">
        <v>7.7416769999999996E-2</v>
      </c>
      <c r="H18" s="3" t="s">
        <v>20</v>
      </c>
      <c r="I18" s="4">
        <v>0</v>
      </c>
      <c r="J18" s="3" t="s">
        <v>20</v>
      </c>
    </row>
    <row r="19" spans="1:10" x14ac:dyDescent="0.25">
      <c r="A19" s="3" t="s">
        <v>112</v>
      </c>
      <c r="B19" s="3" t="s">
        <v>0</v>
      </c>
      <c r="C19" s="3" t="s">
        <v>22</v>
      </c>
      <c r="D19" s="4">
        <v>8.8739999999999999E-2</v>
      </c>
      <c r="E19" s="4">
        <v>1016</v>
      </c>
      <c r="F19" s="4">
        <v>90.159840000000003</v>
      </c>
      <c r="G19" s="4">
        <v>3.6063930000000001E-2</v>
      </c>
      <c r="H19" s="3" t="s">
        <v>20</v>
      </c>
      <c r="I19" s="4">
        <v>0</v>
      </c>
      <c r="J19" s="3" t="s">
        <v>20</v>
      </c>
    </row>
    <row r="20" spans="1:10" x14ac:dyDescent="0.25">
      <c r="A20" s="3" t="s">
        <v>113</v>
      </c>
      <c r="B20" s="3" t="s">
        <v>0</v>
      </c>
      <c r="C20" s="3" t="s">
        <v>22</v>
      </c>
      <c r="D20" s="4">
        <v>8.8800000000000004E-2</v>
      </c>
      <c r="E20" s="4">
        <v>3177</v>
      </c>
      <c r="F20" s="4">
        <v>282.11759999999998</v>
      </c>
      <c r="G20" s="4">
        <v>0.11284704</v>
      </c>
      <c r="H20" s="3" t="s">
        <v>20</v>
      </c>
      <c r="I20" s="4">
        <v>1.5249600000000001</v>
      </c>
      <c r="J20" s="3" t="s">
        <v>20</v>
      </c>
    </row>
    <row r="21" spans="1:10" x14ac:dyDescent="0.25">
      <c r="A21" s="3" t="s">
        <v>114</v>
      </c>
      <c r="B21" s="3" t="s">
        <v>0</v>
      </c>
      <c r="C21" s="3" t="s">
        <v>19</v>
      </c>
      <c r="D21" s="4">
        <v>8.9279999999999998E-2</v>
      </c>
      <c r="E21" s="4">
        <v>3177</v>
      </c>
      <c r="F21" s="4">
        <v>283.64256</v>
      </c>
      <c r="G21" s="4">
        <v>0.11345702000000001</v>
      </c>
      <c r="H21" s="3" t="s">
        <v>20</v>
      </c>
      <c r="I21" s="4">
        <v>0</v>
      </c>
      <c r="J21" s="3" t="s">
        <v>20</v>
      </c>
    </row>
    <row r="22" spans="1:10" x14ac:dyDescent="0.25">
      <c r="A22" s="3" t="s">
        <v>115</v>
      </c>
      <c r="B22" s="3" t="s">
        <v>0</v>
      </c>
      <c r="C22" s="3" t="s">
        <v>19</v>
      </c>
      <c r="D22" s="4">
        <v>8.9429999999999996E-2</v>
      </c>
      <c r="E22" s="4">
        <v>928</v>
      </c>
      <c r="F22" s="4">
        <v>82.991039999999998</v>
      </c>
      <c r="G22" s="4">
        <v>3.3196410000000003E-2</v>
      </c>
      <c r="H22" s="3" t="s">
        <v>20</v>
      </c>
      <c r="I22" s="4">
        <v>-0.94653032999999998</v>
      </c>
      <c r="J22" s="3" t="s">
        <v>20</v>
      </c>
    </row>
    <row r="23" spans="1:10" x14ac:dyDescent="0.25">
      <c r="A23" s="3" t="s">
        <v>115</v>
      </c>
      <c r="B23" s="3" t="s">
        <v>0</v>
      </c>
      <c r="C23" s="3" t="s">
        <v>19</v>
      </c>
      <c r="D23" s="4">
        <v>8.9429999999999996E-2</v>
      </c>
      <c r="E23" s="4">
        <v>2200</v>
      </c>
      <c r="F23" s="4">
        <v>196.74600000000001</v>
      </c>
      <c r="G23" s="4">
        <v>7.8698400000000002E-2</v>
      </c>
      <c r="H23" s="3" t="s">
        <v>20</v>
      </c>
      <c r="I23" s="4">
        <v>-2.24392966</v>
      </c>
      <c r="J23" s="3" t="s">
        <v>20</v>
      </c>
    </row>
    <row r="24" spans="1:10" x14ac:dyDescent="0.25">
      <c r="A24" s="3" t="s">
        <v>116</v>
      </c>
      <c r="B24" s="3" t="s">
        <v>0</v>
      </c>
      <c r="C24" s="3" t="s">
        <v>22</v>
      </c>
      <c r="D24" s="4">
        <v>9.0450000000000003E-2</v>
      </c>
      <c r="E24" s="4">
        <v>3118</v>
      </c>
      <c r="F24" s="4">
        <v>282.0231</v>
      </c>
      <c r="G24" s="4">
        <v>0.11280924000000001</v>
      </c>
      <c r="H24" s="3" t="s">
        <v>20</v>
      </c>
      <c r="I24" s="4">
        <v>0</v>
      </c>
      <c r="J24" s="3" t="s">
        <v>20</v>
      </c>
    </row>
    <row r="25" spans="1:10" x14ac:dyDescent="0.25">
      <c r="A25" s="3" t="s">
        <v>116</v>
      </c>
      <c r="B25" s="3" t="s">
        <v>0</v>
      </c>
      <c r="C25" s="3" t="s">
        <v>22</v>
      </c>
      <c r="D25" s="4">
        <v>9.0440000000000006E-2</v>
      </c>
      <c r="E25" s="4">
        <v>10</v>
      </c>
      <c r="F25" s="4">
        <v>0.90439999999999998</v>
      </c>
      <c r="G25" s="4">
        <v>3.6174999999999998E-4</v>
      </c>
      <c r="H25" s="3" t="s">
        <v>20</v>
      </c>
      <c r="I25" s="4">
        <v>0</v>
      </c>
      <c r="J25" s="3" t="s">
        <v>20</v>
      </c>
    </row>
    <row r="26" spans="1:10" x14ac:dyDescent="0.25">
      <c r="A26" s="3" t="s">
        <v>117</v>
      </c>
      <c r="B26" s="3" t="s">
        <v>0</v>
      </c>
      <c r="C26" s="3" t="s">
        <v>22</v>
      </c>
      <c r="D26" s="4">
        <v>9.0459999999999999E-2</v>
      </c>
      <c r="E26" s="4">
        <v>3030</v>
      </c>
      <c r="F26" s="4">
        <v>274.09379999999999</v>
      </c>
      <c r="G26" s="4">
        <v>0.10963752</v>
      </c>
      <c r="H26" s="3" t="s">
        <v>20</v>
      </c>
      <c r="I26" s="4">
        <v>0</v>
      </c>
      <c r="J26" s="3" t="s">
        <v>20</v>
      </c>
    </row>
    <row r="27" spans="1:10" x14ac:dyDescent="0.25">
      <c r="A27" s="3" t="s">
        <v>117</v>
      </c>
      <c r="B27" s="3" t="s">
        <v>0</v>
      </c>
      <c r="C27" s="3" t="s">
        <v>22</v>
      </c>
      <c r="D27" s="4">
        <v>9.0459999999999999E-2</v>
      </c>
      <c r="E27" s="4">
        <v>100</v>
      </c>
      <c r="F27" s="4">
        <v>9.0459999999999994</v>
      </c>
      <c r="G27" s="4">
        <v>3.6183999999999999E-3</v>
      </c>
      <c r="H27" s="3" t="s">
        <v>20</v>
      </c>
      <c r="I27" s="4">
        <v>0</v>
      </c>
      <c r="J27" s="3" t="s">
        <v>20</v>
      </c>
    </row>
    <row r="28" spans="1:10" x14ac:dyDescent="0.25">
      <c r="A28" s="3" t="s">
        <v>118</v>
      </c>
      <c r="B28" s="3" t="s">
        <v>0</v>
      </c>
      <c r="C28" s="3" t="s">
        <v>19</v>
      </c>
      <c r="D28" s="4">
        <v>9.0459999999999999E-2</v>
      </c>
      <c r="E28" s="4">
        <v>3130</v>
      </c>
      <c r="F28" s="4">
        <v>283.13979999999998</v>
      </c>
      <c r="G28" s="4">
        <v>0.11325592</v>
      </c>
      <c r="H28" s="3" t="s">
        <v>20</v>
      </c>
      <c r="I28" s="4">
        <v>0</v>
      </c>
      <c r="J28" s="3" t="s">
        <v>20</v>
      </c>
    </row>
    <row r="29" spans="1:10" x14ac:dyDescent="0.25">
      <c r="A29" s="3" t="s">
        <v>119</v>
      </c>
      <c r="B29" s="3" t="s">
        <v>0</v>
      </c>
      <c r="C29" s="3" t="s">
        <v>19</v>
      </c>
      <c r="D29" s="4">
        <v>9.0459999999999999E-2</v>
      </c>
      <c r="E29" s="4">
        <v>3098</v>
      </c>
      <c r="F29" s="4">
        <v>280.24507999999997</v>
      </c>
      <c r="G29" s="4">
        <v>0.11209803</v>
      </c>
      <c r="H29" s="3" t="s">
        <v>20</v>
      </c>
      <c r="I29" s="4">
        <v>-2.6023200000000002</v>
      </c>
      <c r="J29" s="3" t="s">
        <v>20</v>
      </c>
    </row>
    <row r="30" spans="1:10" x14ac:dyDescent="0.25">
      <c r="A30" s="3" t="s">
        <v>120</v>
      </c>
      <c r="B30" s="3" t="s">
        <v>0</v>
      </c>
      <c r="C30" s="3" t="s">
        <v>22</v>
      </c>
      <c r="D30" s="4">
        <v>9.1300000000000006E-2</v>
      </c>
      <c r="E30" s="4">
        <v>3098</v>
      </c>
      <c r="F30" s="4">
        <v>282.84739999999999</v>
      </c>
      <c r="G30" s="4">
        <v>0.11313896</v>
      </c>
      <c r="H30" s="3" t="s">
        <v>20</v>
      </c>
      <c r="I30" s="4">
        <v>0</v>
      </c>
      <c r="J30" s="3" t="s">
        <v>20</v>
      </c>
    </row>
    <row r="31" spans="1:10" x14ac:dyDescent="0.25">
      <c r="A31" s="3" t="s">
        <v>121</v>
      </c>
      <c r="B31" s="3" t="s">
        <v>0</v>
      </c>
      <c r="C31" s="3" t="s">
        <v>22</v>
      </c>
      <c r="D31" s="4">
        <v>9.1300000000000006E-2</v>
      </c>
      <c r="E31" s="4">
        <v>3060</v>
      </c>
      <c r="F31" s="4">
        <v>279.37799999999999</v>
      </c>
      <c r="G31" s="4">
        <v>0.11175119</v>
      </c>
      <c r="H31" s="3" t="s">
        <v>20</v>
      </c>
      <c r="I31" s="4">
        <v>2.40272</v>
      </c>
      <c r="J31" s="3" t="s">
        <v>20</v>
      </c>
    </row>
    <row r="32" spans="1:10" x14ac:dyDescent="0.25">
      <c r="A32" s="3" t="s">
        <v>18</v>
      </c>
      <c r="B32" s="3" t="s">
        <v>0</v>
      </c>
      <c r="C32" s="3" t="s">
        <v>19</v>
      </c>
      <c r="D32" s="4">
        <v>9.2079999999999995E-2</v>
      </c>
      <c r="E32" s="4">
        <v>1468</v>
      </c>
      <c r="F32" s="4">
        <v>135.17344</v>
      </c>
      <c r="G32" s="4">
        <v>5.4069369999999999E-2</v>
      </c>
      <c r="H32" s="3" t="s">
        <v>20</v>
      </c>
      <c r="I32" s="4">
        <v>0</v>
      </c>
      <c r="J32" s="3" t="s">
        <v>20</v>
      </c>
    </row>
    <row r="33" spans="1:10" x14ac:dyDescent="0.25">
      <c r="A33" s="3" t="s">
        <v>18</v>
      </c>
      <c r="B33" s="3" t="s">
        <v>0</v>
      </c>
      <c r="C33" s="3" t="s">
        <v>19</v>
      </c>
      <c r="D33" s="4">
        <v>9.2090000000000005E-2</v>
      </c>
      <c r="E33" s="4">
        <v>12</v>
      </c>
      <c r="F33" s="4">
        <v>1.1050800000000001</v>
      </c>
      <c r="G33" s="4">
        <v>4.4202999999999999E-4</v>
      </c>
      <c r="H33" s="3" t="s">
        <v>20</v>
      </c>
      <c r="I33" s="4">
        <v>0</v>
      </c>
      <c r="J33" s="3" t="s">
        <v>20</v>
      </c>
    </row>
    <row r="34" spans="1:10" x14ac:dyDescent="0.25">
      <c r="A34" s="3" t="s">
        <v>18</v>
      </c>
      <c r="B34" s="3" t="s">
        <v>0</v>
      </c>
      <c r="C34" s="3" t="s">
        <v>19</v>
      </c>
      <c r="D34" s="4">
        <v>9.2090000000000005E-2</v>
      </c>
      <c r="E34" s="4">
        <v>94</v>
      </c>
      <c r="F34" s="4">
        <v>8.6564599999999992</v>
      </c>
      <c r="G34" s="4">
        <v>3.4625799999999998E-3</v>
      </c>
      <c r="H34" s="3" t="s">
        <v>20</v>
      </c>
      <c r="I34" s="4">
        <v>0</v>
      </c>
      <c r="J34" s="3" t="s">
        <v>20</v>
      </c>
    </row>
    <row r="35" spans="1:10" x14ac:dyDescent="0.25">
      <c r="A35" s="3" t="s">
        <v>18</v>
      </c>
      <c r="B35" s="3" t="s">
        <v>0</v>
      </c>
      <c r="C35" s="3" t="s">
        <v>19</v>
      </c>
      <c r="D35" s="4">
        <v>9.2090000000000005E-2</v>
      </c>
      <c r="E35" s="4">
        <v>29</v>
      </c>
      <c r="F35" s="4">
        <v>2.6706099999999999</v>
      </c>
      <c r="G35" s="4">
        <v>1.06824E-3</v>
      </c>
      <c r="H35" s="3" t="s">
        <v>20</v>
      </c>
      <c r="I35" s="4">
        <v>0</v>
      </c>
      <c r="J35" s="3" t="s">
        <v>20</v>
      </c>
    </row>
    <row r="36" spans="1:10" x14ac:dyDescent="0.25">
      <c r="A36" s="3" t="s">
        <v>18</v>
      </c>
      <c r="B36" s="3" t="s">
        <v>0</v>
      </c>
      <c r="C36" s="3" t="s">
        <v>19</v>
      </c>
      <c r="D36" s="4">
        <v>9.2090000000000005E-2</v>
      </c>
      <c r="E36" s="4">
        <v>209</v>
      </c>
      <c r="F36" s="4">
        <v>19.24681</v>
      </c>
      <c r="G36" s="4">
        <v>7.69872E-3</v>
      </c>
      <c r="H36" s="3" t="s">
        <v>20</v>
      </c>
      <c r="I36" s="4">
        <v>0</v>
      </c>
      <c r="J36" s="3" t="s">
        <v>20</v>
      </c>
    </row>
    <row r="37" spans="1:10" x14ac:dyDescent="0.25">
      <c r="A37" s="3" t="s">
        <v>18</v>
      </c>
      <c r="B37" s="3" t="s">
        <v>0</v>
      </c>
      <c r="C37" s="3" t="s">
        <v>19</v>
      </c>
      <c r="D37" s="4">
        <v>9.2090000000000005E-2</v>
      </c>
      <c r="E37" s="4">
        <v>6</v>
      </c>
      <c r="F37" s="4">
        <v>0.55254000000000003</v>
      </c>
      <c r="G37" s="4">
        <v>2.2101E-4</v>
      </c>
      <c r="H37" s="3" t="s">
        <v>20</v>
      </c>
      <c r="I37" s="4">
        <v>0</v>
      </c>
      <c r="J37" s="3" t="s">
        <v>20</v>
      </c>
    </row>
    <row r="38" spans="1:10" x14ac:dyDescent="0.25">
      <c r="A38" s="3" t="s">
        <v>18</v>
      </c>
      <c r="B38" s="3" t="s">
        <v>0</v>
      </c>
      <c r="C38" s="3" t="s">
        <v>19</v>
      </c>
      <c r="D38" s="4">
        <v>9.2090000000000005E-2</v>
      </c>
      <c r="E38" s="4">
        <v>1242</v>
      </c>
      <c r="F38" s="4">
        <v>114.37578000000001</v>
      </c>
      <c r="G38" s="4">
        <v>4.5750310000000002E-2</v>
      </c>
      <c r="H38" s="3" t="s">
        <v>20</v>
      </c>
      <c r="I38" s="4">
        <v>0</v>
      </c>
      <c r="J38" s="3" t="s">
        <v>20</v>
      </c>
    </row>
    <row r="39" spans="1:10" x14ac:dyDescent="0.25">
      <c r="A39" s="3" t="s">
        <v>21</v>
      </c>
      <c r="B39" s="3" t="s">
        <v>0</v>
      </c>
      <c r="C39" s="3" t="s">
        <v>22</v>
      </c>
      <c r="D39" s="4">
        <v>9.2549999999999993E-2</v>
      </c>
      <c r="E39" s="4">
        <v>337</v>
      </c>
      <c r="F39" s="4">
        <v>31.189350000000001</v>
      </c>
      <c r="G39" s="4">
        <v>1.2475740000000001E-2</v>
      </c>
      <c r="H39" s="3" t="s">
        <v>20</v>
      </c>
      <c r="I39" s="4">
        <v>0.97055999999999998</v>
      </c>
      <c r="J39" s="3" t="s">
        <v>20</v>
      </c>
    </row>
    <row r="40" spans="1:10" x14ac:dyDescent="0.25">
      <c r="A40" s="3" t="s">
        <v>21</v>
      </c>
      <c r="B40" s="3" t="s">
        <v>0</v>
      </c>
      <c r="C40" s="3" t="s">
        <v>22</v>
      </c>
      <c r="D40" s="4">
        <v>9.2549999999999993E-2</v>
      </c>
      <c r="E40" s="4">
        <v>1521</v>
      </c>
      <c r="F40" s="4">
        <v>140.76855</v>
      </c>
      <c r="G40" s="4">
        <v>5.6307419999999997E-2</v>
      </c>
      <c r="H40" s="3" t="s">
        <v>20</v>
      </c>
      <c r="I40" s="4">
        <v>4.3804800000000004</v>
      </c>
      <c r="J40" s="3" t="s">
        <v>20</v>
      </c>
    </row>
    <row r="41" spans="1:10" x14ac:dyDescent="0.25">
      <c r="A41" s="3" t="s">
        <v>21</v>
      </c>
      <c r="B41" s="3" t="s">
        <v>0</v>
      </c>
      <c r="C41" s="3" t="s">
        <v>22</v>
      </c>
      <c r="D41" s="4">
        <v>9.2539999999999997E-2</v>
      </c>
      <c r="E41" s="4">
        <v>1008</v>
      </c>
      <c r="F41" s="4">
        <v>93.280320000000003</v>
      </c>
      <c r="G41" s="4">
        <v>3.7312119999999997E-2</v>
      </c>
      <c r="H41" s="3" t="s">
        <v>20</v>
      </c>
      <c r="I41" s="4">
        <v>2.9131200000000002</v>
      </c>
      <c r="J41" s="3" t="s">
        <v>20</v>
      </c>
    </row>
    <row r="42" spans="1:10" x14ac:dyDescent="0.25">
      <c r="A42" s="3" t="s">
        <v>21</v>
      </c>
      <c r="B42" s="3" t="s">
        <v>0</v>
      </c>
      <c r="C42" s="3" t="s">
        <v>22</v>
      </c>
      <c r="D42" s="4">
        <v>9.2530000000000001E-2</v>
      </c>
      <c r="E42" s="4">
        <v>106</v>
      </c>
      <c r="F42" s="4">
        <v>9.8081800000000001</v>
      </c>
      <c r="G42" s="4">
        <v>3.9232700000000004E-3</v>
      </c>
      <c r="H42" s="3" t="s">
        <v>20</v>
      </c>
      <c r="I42" s="4">
        <v>0.30740000000000001</v>
      </c>
      <c r="J42" s="3" t="s">
        <v>20</v>
      </c>
    </row>
    <row r="43" spans="1:10" x14ac:dyDescent="0.25">
      <c r="A43" s="3" t="s">
        <v>23</v>
      </c>
      <c r="B43" s="3" t="s">
        <v>1</v>
      </c>
      <c r="C43" s="3" t="s">
        <v>19</v>
      </c>
      <c r="D43" s="4">
        <v>4.7590000000000003</v>
      </c>
      <c r="E43" s="4">
        <v>10.19</v>
      </c>
      <c r="F43" s="4">
        <v>48.494210000000002</v>
      </c>
      <c r="G43" s="4">
        <v>1.939768E-2</v>
      </c>
      <c r="H43" s="3" t="s">
        <v>20</v>
      </c>
      <c r="I43" s="4">
        <v>0</v>
      </c>
      <c r="J43" s="3" t="s">
        <v>20</v>
      </c>
    </row>
    <row r="44" spans="1:10" x14ac:dyDescent="0.25">
      <c r="A44" s="3" t="s">
        <v>23</v>
      </c>
      <c r="B44" s="3" t="s">
        <v>1</v>
      </c>
      <c r="C44" s="3" t="s">
        <v>19</v>
      </c>
      <c r="D44" s="4">
        <v>4.7590000000000003</v>
      </c>
      <c r="E44" s="4">
        <v>0.87</v>
      </c>
      <c r="F44" s="4">
        <v>4.1403299999999996</v>
      </c>
      <c r="G44" s="4">
        <v>1.65613E-3</v>
      </c>
      <c r="H44" s="3" t="s">
        <v>20</v>
      </c>
      <c r="I44" s="4">
        <v>0</v>
      </c>
      <c r="J44" s="3" t="s">
        <v>20</v>
      </c>
    </row>
    <row r="45" spans="1:10" x14ac:dyDescent="0.25">
      <c r="A45" s="3" t="s">
        <v>23</v>
      </c>
      <c r="B45" s="3" t="s">
        <v>1</v>
      </c>
      <c r="C45" s="3" t="s">
        <v>19</v>
      </c>
      <c r="D45" s="4">
        <v>4.7610000000000001</v>
      </c>
      <c r="E45" s="4">
        <v>20.97</v>
      </c>
      <c r="F45" s="4">
        <v>99.838170000000005</v>
      </c>
      <c r="G45" s="4">
        <v>3.993526E-2</v>
      </c>
      <c r="H45" s="3" t="s">
        <v>20</v>
      </c>
      <c r="I45" s="4">
        <v>0</v>
      </c>
      <c r="J45" s="3" t="s">
        <v>20</v>
      </c>
    </row>
    <row r="46" spans="1:10" x14ac:dyDescent="0.25">
      <c r="A46" s="3" t="s">
        <v>23</v>
      </c>
      <c r="B46" s="3" t="s">
        <v>1</v>
      </c>
      <c r="C46" s="3" t="s">
        <v>19</v>
      </c>
      <c r="D46" s="4">
        <v>4.7610000000000001</v>
      </c>
      <c r="E46" s="4">
        <v>0.1</v>
      </c>
      <c r="F46" s="4">
        <v>0.47610000000000002</v>
      </c>
      <c r="G46" s="4">
        <v>1.9044E-4</v>
      </c>
      <c r="H46" s="3" t="s">
        <v>20</v>
      </c>
      <c r="I46" s="4">
        <v>0</v>
      </c>
      <c r="J46" s="3" t="s">
        <v>20</v>
      </c>
    </row>
    <row r="47" spans="1:10" x14ac:dyDescent="0.25">
      <c r="A47" s="3" t="s">
        <v>23</v>
      </c>
      <c r="B47" s="3" t="s">
        <v>1</v>
      </c>
      <c r="C47" s="3" t="s">
        <v>19</v>
      </c>
      <c r="D47" s="4">
        <v>4.7619999999999996</v>
      </c>
      <c r="E47" s="4">
        <v>20.11</v>
      </c>
      <c r="F47" s="4">
        <v>95.763819999999996</v>
      </c>
      <c r="G47" s="4">
        <v>3.8305520000000003E-2</v>
      </c>
      <c r="H47" s="3" t="s">
        <v>20</v>
      </c>
      <c r="I47" s="4">
        <v>0</v>
      </c>
      <c r="J47" s="3" t="s">
        <v>20</v>
      </c>
    </row>
    <row r="48" spans="1:10" x14ac:dyDescent="0.25">
      <c r="A48" s="3" t="s">
        <v>23</v>
      </c>
      <c r="B48" s="3" t="s">
        <v>1</v>
      </c>
      <c r="C48" s="3" t="s">
        <v>19</v>
      </c>
      <c r="D48" s="4">
        <v>4.7619999999999996</v>
      </c>
      <c r="E48" s="4">
        <v>0.1</v>
      </c>
      <c r="F48" s="4">
        <v>0.47620000000000001</v>
      </c>
      <c r="G48" s="4">
        <v>1.9048000000000001E-4</v>
      </c>
      <c r="H48" s="3" t="s">
        <v>20</v>
      </c>
      <c r="I48" s="4">
        <v>0</v>
      </c>
      <c r="J48" s="3" t="s">
        <v>20</v>
      </c>
    </row>
    <row r="49" spans="1:10" x14ac:dyDescent="0.25">
      <c r="A49" s="3" t="s">
        <v>23</v>
      </c>
      <c r="B49" s="3" t="s">
        <v>1</v>
      </c>
      <c r="C49" s="3" t="s">
        <v>19</v>
      </c>
      <c r="D49" s="4">
        <v>4.7629999999999999</v>
      </c>
      <c r="E49" s="4">
        <v>0.1</v>
      </c>
      <c r="F49" s="4">
        <v>0.4763</v>
      </c>
      <c r="G49" s="4">
        <v>1.9052000000000001E-4</v>
      </c>
      <c r="H49" s="3" t="s">
        <v>20</v>
      </c>
      <c r="I49" s="4">
        <v>0</v>
      </c>
      <c r="J49" s="3" t="s">
        <v>20</v>
      </c>
    </row>
    <row r="50" spans="1:10" x14ac:dyDescent="0.25">
      <c r="A50" s="3" t="s">
        <v>23</v>
      </c>
      <c r="B50" s="3" t="s">
        <v>1</v>
      </c>
      <c r="C50" s="3" t="s">
        <v>19</v>
      </c>
      <c r="D50" s="4">
        <v>4.7640000000000002</v>
      </c>
      <c r="E50" s="4">
        <v>0.1</v>
      </c>
      <c r="F50" s="4">
        <v>0.47639999999999999</v>
      </c>
      <c r="G50" s="4">
        <v>1.9055999999999999E-4</v>
      </c>
      <c r="H50" s="3" t="s">
        <v>20</v>
      </c>
      <c r="I50" s="4">
        <v>0</v>
      </c>
      <c r="J50" s="3" t="s">
        <v>20</v>
      </c>
    </row>
    <row r="51" spans="1:10" x14ac:dyDescent="0.25">
      <c r="A51" s="3" t="s">
        <v>23</v>
      </c>
      <c r="B51" s="3" t="s">
        <v>1</v>
      </c>
      <c r="C51" s="3" t="s">
        <v>19</v>
      </c>
      <c r="D51" s="4">
        <v>4.7649999999999997</v>
      </c>
      <c r="E51" s="4">
        <v>0.1</v>
      </c>
      <c r="F51" s="4">
        <v>0.47649999999999998</v>
      </c>
      <c r="G51" s="4">
        <v>1.906E-4</v>
      </c>
      <c r="H51" s="3" t="s">
        <v>20</v>
      </c>
      <c r="I51" s="4">
        <v>0</v>
      </c>
      <c r="J51" s="3" t="s">
        <v>20</v>
      </c>
    </row>
    <row r="52" spans="1:10" x14ac:dyDescent="0.25">
      <c r="A52" s="3" t="s">
        <v>23</v>
      </c>
      <c r="B52" s="3" t="s">
        <v>1</v>
      </c>
      <c r="C52" s="3" t="s">
        <v>19</v>
      </c>
      <c r="D52" s="4">
        <v>4.7649999999999997</v>
      </c>
      <c r="E52" s="4">
        <v>6.61</v>
      </c>
      <c r="F52" s="4">
        <v>31.496649999999999</v>
      </c>
      <c r="G52" s="4">
        <v>1.2598659999999999E-2</v>
      </c>
      <c r="H52" s="3" t="s">
        <v>20</v>
      </c>
      <c r="I52" s="4">
        <v>0</v>
      </c>
      <c r="J52" s="3" t="s">
        <v>20</v>
      </c>
    </row>
    <row r="53" spans="1:10" x14ac:dyDescent="0.25">
      <c r="A53" s="3" t="s">
        <v>23</v>
      </c>
      <c r="B53" s="3" t="s">
        <v>2</v>
      </c>
      <c r="C53" s="3" t="s">
        <v>19</v>
      </c>
      <c r="D53" s="4">
        <v>2.3410000000000002</v>
      </c>
      <c r="E53" s="4">
        <v>120.5</v>
      </c>
      <c r="F53" s="4">
        <v>282.09050000000002</v>
      </c>
      <c r="G53" s="4">
        <v>0.1128362</v>
      </c>
      <c r="H53" s="3" t="s">
        <v>20</v>
      </c>
      <c r="I53" s="4">
        <v>0</v>
      </c>
      <c r="J53" s="3" t="s">
        <v>20</v>
      </c>
    </row>
    <row r="54" spans="1:10" x14ac:dyDescent="0.25">
      <c r="A54" s="3" t="s">
        <v>24</v>
      </c>
      <c r="B54" s="3" t="s">
        <v>3</v>
      </c>
      <c r="C54" s="3" t="s">
        <v>19</v>
      </c>
      <c r="D54" s="4">
        <v>225.8</v>
      </c>
      <c r="E54" s="4">
        <v>1.25</v>
      </c>
      <c r="F54" s="4">
        <v>282.25</v>
      </c>
      <c r="G54" s="4">
        <v>0.1129</v>
      </c>
      <c r="H54" s="3" t="s">
        <v>20</v>
      </c>
      <c r="I54" s="4">
        <v>0</v>
      </c>
      <c r="J54" s="3" t="s">
        <v>20</v>
      </c>
    </row>
    <row r="55" spans="1:10" x14ac:dyDescent="0.25">
      <c r="A55" s="3" t="s">
        <v>24</v>
      </c>
      <c r="B55" s="3" t="s">
        <v>4</v>
      </c>
      <c r="C55" s="3" t="s">
        <v>19</v>
      </c>
      <c r="D55" s="4">
        <v>2.3109999999999999</v>
      </c>
      <c r="E55" s="4">
        <v>122.1</v>
      </c>
      <c r="F55" s="4">
        <v>282.17309999999998</v>
      </c>
      <c r="G55" s="4">
        <v>0.11286924</v>
      </c>
      <c r="H55" s="3" t="s">
        <v>20</v>
      </c>
      <c r="I55" s="4">
        <v>0</v>
      </c>
      <c r="J55" s="3" t="s">
        <v>20</v>
      </c>
    </row>
    <row r="56" spans="1:10" x14ac:dyDescent="0.25">
      <c r="A56" s="3" t="s">
        <v>25</v>
      </c>
      <c r="B56" s="3" t="s">
        <v>5</v>
      </c>
      <c r="C56" s="3" t="s">
        <v>19</v>
      </c>
      <c r="D56" s="4">
        <v>9056.6200000000008</v>
      </c>
      <c r="E56" s="4">
        <v>3.1E-2</v>
      </c>
      <c r="F56" s="4">
        <v>280.75522000000001</v>
      </c>
      <c r="G56" s="4">
        <v>0.11230208</v>
      </c>
      <c r="H56" s="3" t="s">
        <v>20</v>
      </c>
      <c r="I56" s="4">
        <v>0</v>
      </c>
      <c r="J56" s="3" t="s">
        <v>20</v>
      </c>
    </row>
    <row r="57" spans="1:10" x14ac:dyDescent="0.25">
      <c r="A57" s="3" t="s">
        <v>25</v>
      </c>
      <c r="B57" s="3" t="s">
        <v>2</v>
      </c>
      <c r="C57" s="3" t="s">
        <v>19</v>
      </c>
      <c r="D57" s="4">
        <v>2.3420000000000001</v>
      </c>
      <c r="E57" s="4">
        <v>112.7</v>
      </c>
      <c r="F57" s="4">
        <v>263.9434</v>
      </c>
      <c r="G57" s="4">
        <v>0.10557736</v>
      </c>
      <c r="H57" s="3" t="s">
        <v>20</v>
      </c>
      <c r="I57" s="4">
        <v>-5.0715000000000003</v>
      </c>
      <c r="J57" s="3" t="s">
        <v>20</v>
      </c>
    </row>
    <row r="58" spans="1:10" x14ac:dyDescent="0.25">
      <c r="A58" s="3" t="s">
        <v>25</v>
      </c>
      <c r="B58" s="3" t="s">
        <v>2</v>
      </c>
      <c r="C58" s="3" t="s">
        <v>19</v>
      </c>
      <c r="D58" s="4">
        <v>2.3420000000000001</v>
      </c>
      <c r="E58" s="4">
        <v>6</v>
      </c>
      <c r="F58" s="4">
        <v>14.052</v>
      </c>
      <c r="G58" s="4">
        <v>5.6207899999999996E-3</v>
      </c>
      <c r="H58" s="3" t="s">
        <v>20</v>
      </c>
      <c r="I58" s="4">
        <v>-0.27</v>
      </c>
      <c r="J58" s="3" t="s">
        <v>20</v>
      </c>
    </row>
    <row r="59" spans="1:10" x14ac:dyDescent="0.25">
      <c r="A59" s="3" t="s">
        <v>25</v>
      </c>
      <c r="B59" s="3" t="s">
        <v>1</v>
      </c>
      <c r="C59" s="3" t="s">
        <v>19</v>
      </c>
      <c r="D59" s="4">
        <v>4.7679999999999998</v>
      </c>
      <c r="E59" s="4">
        <v>13.86</v>
      </c>
      <c r="F59" s="4">
        <v>66.084479999999999</v>
      </c>
      <c r="G59" s="4">
        <v>2.6433789999999999E-2</v>
      </c>
      <c r="H59" s="3" t="s">
        <v>20</v>
      </c>
      <c r="I59" s="4">
        <v>-0.72072000000000003</v>
      </c>
      <c r="J59" s="3" t="s">
        <v>20</v>
      </c>
    </row>
    <row r="60" spans="1:10" x14ac:dyDescent="0.25">
      <c r="A60" s="3" t="s">
        <v>25</v>
      </c>
      <c r="B60" s="3" t="s">
        <v>1</v>
      </c>
      <c r="C60" s="3" t="s">
        <v>19</v>
      </c>
      <c r="D60" s="4">
        <v>4.7699999999999996</v>
      </c>
      <c r="E60" s="4">
        <v>44.89</v>
      </c>
      <c r="F60" s="4">
        <v>214.12530000000001</v>
      </c>
      <c r="G60" s="4">
        <v>8.5650119999999996E-2</v>
      </c>
      <c r="H60" s="3" t="s">
        <v>20</v>
      </c>
      <c r="I60" s="4">
        <v>-2.2444999999999999</v>
      </c>
      <c r="J60" s="3" t="s">
        <v>20</v>
      </c>
    </row>
    <row r="61" spans="1:10" x14ac:dyDescent="0.25">
      <c r="A61" s="3" t="s">
        <v>25</v>
      </c>
      <c r="B61" s="3" t="s">
        <v>3</v>
      </c>
      <c r="C61" s="3" t="s">
        <v>19</v>
      </c>
      <c r="D61" s="4">
        <v>225.83</v>
      </c>
      <c r="E61" s="4">
        <v>1.2310000000000001</v>
      </c>
      <c r="F61" s="4">
        <v>277.99673000000001</v>
      </c>
      <c r="G61" s="4">
        <v>0.11119869</v>
      </c>
      <c r="H61" s="3" t="s">
        <v>20</v>
      </c>
      <c r="I61" s="4">
        <v>-5.5518099999999997</v>
      </c>
      <c r="J61" s="3" t="s">
        <v>20</v>
      </c>
    </row>
    <row r="62" spans="1:10" x14ac:dyDescent="0.25">
      <c r="A62" s="3" t="s">
        <v>26</v>
      </c>
      <c r="B62" s="3" t="s">
        <v>4</v>
      </c>
      <c r="C62" s="3" t="s">
        <v>19</v>
      </c>
      <c r="D62" s="4">
        <v>2.3159999999999998</v>
      </c>
      <c r="E62" s="4">
        <v>73.099999999999994</v>
      </c>
      <c r="F62" s="4">
        <v>169.2996</v>
      </c>
      <c r="G62" s="4">
        <v>6.7719829999999995E-2</v>
      </c>
      <c r="H62" s="3" t="s">
        <v>20</v>
      </c>
      <c r="I62" s="4">
        <v>-6.2134999999999998</v>
      </c>
      <c r="J62" s="3" t="s">
        <v>20</v>
      </c>
    </row>
    <row r="63" spans="1:10" x14ac:dyDescent="0.25">
      <c r="A63" s="3" t="s">
        <v>26</v>
      </c>
      <c r="B63" s="3" t="s">
        <v>4</v>
      </c>
      <c r="C63" s="3" t="s">
        <v>19</v>
      </c>
      <c r="D63" s="4">
        <v>2.3159999999999998</v>
      </c>
      <c r="E63" s="4">
        <v>46.3</v>
      </c>
      <c r="F63" s="4">
        <v>107.2308</v>
      </c>
      <c r="G63" s="4">
        <v>4.2892319999999998E-2</v>
      </c>
      <c r="H63" s="3" t="s">
        <v>20</v>
      </c>
      <c r="I63" s="4">
        <v>-3.9355000000000002</v>
      </c>
      <c r="J63" s="3" t="s">
        <v>20</v>
      </c>
    </row>
    <row r="64" spans="1:10" x14ac:dyDescent="0.25">
      <c r="A64" s="3" t="s">
        <v>27</v>
      </c>
      <c r="B64" s="3" t="s">
        <v>0</v>
      </c>
      <c r="C64" s="3" t="s">
        <v>19</v>
      </c>
      <c r="D64" s="4">
        <v>9.5430000000000001E-2</v>
      </c>
      <c r="E64" s="4">
        <v>2972</v>
      </c>
      <c r="F64" s="4">
        <v>283.61795999999998</v>
      </c>
      <c r="G64" s="4">
        <v>0.11344717999999999</v>
      </c>
      <c r="H64" s="3" t="s">
        <v>20</v>
      </c>
      <c r="I64" s="4">
        <v>0</v>
      </c>
      <c r="J64" s="3" t="s">
        <v>20</v>
      </c>
    </row>
    <row r="65" spans="1:10" x14ac:dyDescent="0.25">
      <c r="A65" s="3" t="s">
        <v>28</v>
      </c>
      <c r="B65" s="3" t="s">
        <v>0</v>
      </c>
      <c r="C65" s="3" t="s">
        <v>19</v>
      </c>
      <c r="D65" s="4">
        <v>9.5430000000000001E-2</v>
      </c>
      <c r="E65" s="4">
        <v>3021</v>
      </c>
      <c r="F65" s="4">
        <v>288.29403000000002</v>
      </c>
      <c r="G65" s="4">
        <v>0.11531761</v>
      </c>
      <c r="H65" s="3" t="s">
        <v>20</v>
      </c>
      <c r="I65" s="4">
        <v>4.4710799999999997</v>
      </c>
      <c r="J65" s="3" t="s">
        <v>20</v>
      </c>
    </row>
    <row r="66" spans="1:10" x14ac:dyDescent="0.25">
      <c r="A66" s="3" t="s">
        <v>29</v>
      </c>
      <c r="B66" s="3" t="s">
        <v>3</v>
      </c>
      <c r="C66" s="3" t="s">
        <v>22</v>
      </c>
      <c r="D66" s="4">
        <v>230.34</v>
      </c>
      <c r="E66" s="4">
        <v>1.2310000000000001</v>
      </c>
      <c r="F66" s="4">
        <v>283.54854</v>
      </c>
      <c r="G66" s="4">
        <v>0.11341941</v>
      </c>
      <c r="H66" s="3" t="s">
        <v>20</v>
      </c>
      <c r="I66" s="4">
        <v>0</v>
      </c>
      <c r="J66" s="3" t="s">
        <v>20</v>
      </c>
    </row>
    <row r="67" spans="1:10" x14ac:dyDescent="0.25">
      <c r="A67" s="3" t="s">
        <v>30</v>
      </c>
      <c r="B67" s="3" t="s">
        <v>3</v>
      </c>
      <c r="C67" s="3" t="s">
        <v>22</v>
      </c>
      <c r="D67" s="4">
        <v>230.34</v>
      </c>
      <c r="E67" s="4">
        <v>1.244</v>
      </c>
      <c r="F67" s="4">
        <v>286.54295999999999</v>
      </c>
      <c r="G67" s="4">
        <v>0.11461718</v>
      </c>
      <c r="H67" s="3" t="s">
        <v>20</v>
      </c>
      <c r="I67" s="4">
        <v>-1.34352</v>
      </c>
      <c r="J67" s="3" t="s">
        <v>20</v>
      </c>
    </row>
    <row r="68" spans="1:10" x14ac:dyDescent="0.25">
      <c r="A68" s="3" t="s">
        <v>31</v>
      </c>
      <c r="B68" s="3" t="s">
        <v>2</v>
      </c>
      <c r="C68" s="3" t="s">
        <v>22</v>
      </c>
      <c r="D68" s="4">
        <v>2.387</v>
      </c>
      <c r="E68" s="4">
        <v>118.7</v>
      </c>
      <c r="F68" s="4">
        <v>283.33690000000001</v>
      </c>
      <c r="G68" s="4">
        <v>0.11333476000000001</v>
      </c>
      <c r="H68" s="3" t="s">
        <v>20</v>
      </c>
      <c r="I68" s="4">
        <v>0</v>
      </c>
      <c r="J68" s="3" t="s">
        <v>20</v>
      </c>
    </row>
    <row r="69" spans="1:10" x14ac:dyDescent="0.25">
      <c r="A69" s="3" t="s">
        <v>32</v>
      </c>
      <c r="B69" s="3" t="s">
        <v>2</v>
      </c>
      <c r="C69" s="3" t="s">
        <v>22</v>
      </c>
      <c r="D69" s="4">
        <v>2.387</v>
      </c>
      <c r="E69" s="4">
        <v>118.6</v>
      </c>
      <c r="F69" s="4">
        <v>283.09820000000002</v>
      </c>
      <c r="G69" s="4">
        <v>0.11323927</v>
      </c>
      <c r="H69" s="3" t="s">
        <v>20</v>
      </c>
      <c r="I69" s="4">
        <v>2.2534000000000001</v>
      </c>
      <c r="J69" s="3" t="s">
        <v>20</v>
      </c>
    </row>
    <row r="70" spans="1:10" x14ac:dyDescent="0.25">
      <c r="A70" s="3" t="s">
        <v>33</v>
      </c>
      <c r="B70" s="3" t="s">
        <v>1</v>
      </c>
      <c r="C70" s="3" t="s">
        <v>22</v>
      </c>
      <c r="D70" s="4">
        <v>4.82</v>
      </c>
      <c r="E70" s="4">
        <v>58.75</v>
      </c>
      <c r="F70" s="4">
        <v>283.17500000000001</v>
      </c>
      <c r="G70" s="4">
        <v>0.11327</v>
      </c>
      <c r="H70" s="3" t="s">
        <v>20</v>
      </c>
      <c r="I70" s="4">
        <v>0</v>
      </c>
      <c r="J70" s="3" t="s">
        <v>20</v>
      </c>
    </row>
    <row r="71" spans="1:10" x14ac:dyDescent="0.25">
      <c r="A71" s="3" t="s">
        <v>34</v>
      </c>
      <c r="B71" s="3" t="s">
        <v>1</v>
      </c>
      <c r="C71" s="3" t="s">
        <v>22</v>
      </c>
      <c r="D71" s="4">
        <v>4.819</v>
      </c>
      <c r="E71" s="4">
        <v>60.55</v>
      </c>
      <c r="F71" s="4">
        <v>291.79045000000002</v>
      </c>
      <c r="G71" s="4">
        <v>0.11671618</v>
      </c>
      <c r="H71" s="3" t="s">
        <v>20</v>
      </c>
      <c r="I71" s="4">
        <v>-6.4788500000000004</v>
      </c>
      <c r="J71" s="3" t="s">
        <v>20</v>
      </c>
    </row>
    <row r="72" spans="1:10" x14ac:dyDescent="0.25">
      <c r="A72" s="3" t="s">
        <v>35</v>
      </c>
      <c r="B72" s="3" t="s">
        <v>0</v>
      </c>
      <c r="C72" s="3" t="s">
        <v>22</v>
      </c>
      <c r="D72" s="4">
        <v>9.3950000000000006E-2</v>
      </c>
      <c r="E72" s="4">
        <v>3021</v>
      </c>
      <c r="F72" s="4">
        <v>283.82294999999999</v>
      </c>
      <c r="G72" s="4">
        <v>0.11352917</v>
      </c>
      <c r="H72" s="3" t="s">
        <v>20</v>
      </c>
      <c r="I72" s="4">
        <v>0</v>
      </c>
      <c r="J72" s="3" t="s">
        <v>20</v>
      </c>
    </row>
    <row r="73" spans="1:10" x14ac:dyDescent="0.25">
      <c r="A73" s="3" t="s">
        <v>36</v>
      </c>
      <c r="B73" s="3" t="s">
        <v>0</v>
      </c>
      <c r="C73" s="3" t="s">
        <v>22</v>
      </c>
      <c r="D73" s="4">
        <v>9.3920000000000003E-2</v>
      </c>
      <c r="E73" s="4">
        <v>3058</v>
      </c>
      <c r="F73" s="4">
        <v>287.20735999999999</v>
      </c>
      <c r="G73" s="4">
        <v>0.11488294</v>
      </c>
      <c r="H73" s="3" t="s">
        <v>20</v>
      </c>
      <c r="I73" s="4">
        <v>-3.0449899999999999</v>
      </c>
      <c r="J73" s="3" t="s">
        <v>20</v>
      </c>
    </row>
    <row r="74" spans="1:10" x14ac:dyDescent="0.25">
      <c r="A74" s="3" t="s">
        <v>37</v>
      </c>
      <c r="B74" s="3" t="s">
        <v>0</v>
      </c>
      <c r="C74" s="3" t="s">
        <v>19</v>
      </c>
      <c r="D74" s="4">
        <v>9.2920000000000003E-2</v>
      </c>
      <c r="E74" s="4">
        <v>1737</v>
      </c>
      <c r="F74" s="4">
        <v>161.40204</v>
      </c>
      <c r="G74" s="4">
        <v>6.4560809999999996E-2</v>
      </c>
      <c r="H74" s="3" t="s">
        <v>20</v>
      </c>
      <c r="I74" s="4">
        <v>0</v>
      </c>
      <c r="J74" s="3" t="s">
        <v>20</v>
      </c>
    </row>
    <row r="75" spans="1:10" x14ac:dyDescent="0.25">
      <c r="A75" s="3" t="s">
        <v>37</v>
      </c>
      <c r="B75" s="3" t="s">
        <v>0</v>
      </c>
      <c r="C75" s="3" t="s">
        <v>19</v>
      </c>
      <c r="D75" s="4">
        <v>9.2920000000000003E-2</v>
      </c>
      <c r="E75" s="4">
        <v>20</v>
      </c>
      <c r="F75" s="4">
        <v>1.8584000000000001</v>
      </c>
      <c r="G75" s="4">
        <v>7.4335999999999998E-4</v>
      </c>
      <c r="H75" s="3" t="s">
        <v>20</v>
      </c>
      <c r="I75" s="4">
        <v>0</v>
      </c>
      <c r="J75" s="3" t="s">
        <v>20</v>
      </c>
    </row>
    <row r="76" spans="1:10" x14ac:dyDescent="0.25">
      <c r="A76" s="3" t="s">
        <v>37</v>
      </c>
      <c r="B76" s="3" t="s">
        <v>0</v>
      </c>
      <c r="C76" s="3" t="s">
        <v>19</v>
      </c>
      <c r="D76" s="4">
        <v>9.2929999999999999E-2</v>
      </c>
      <c r="E76" s="4">
        <v>1301</v>
      </c>
      <c r="F76" s="4">
        <v>120.90192999999999</v>
      </c>
      <c r="G76" s="4">
        <v>4.8360769999999997E-2</v>
      </c>
      <c r="H76" s="3" t="s">
        <v>20</v>
      </c>
      <c r="I76" s="4">
        <v>0</v>
      </c>
      <c r="J76" s="3" t="s">
        <v>20</v>
      </c>
    </row>
    <row r="77" spans="1:10" x14ac:dyDescent="0.25">
      <c r="A77" s="3" t="s">
        <v>38</v>
      </c>
      <c r="B77" s="3" t="s">
        <v>0</v>
      </c>
      <c r="C77" s="3" t="s">
        <v>19</v>
      </c>
      <c r="D77" s="4">
        <v>9.289E-2</v>
      </c>
      <c r="E77" s="4">
        <v>3032</v>
      </c>
      <c r="F77" s="4">
        <v>281.64247999999998</v>
      </c>
      <c r="G77" s="4">
        <v>0.11265699</v>
      </c>
      <c r="H77" s="3" t="s">
        <v>20</v>
      </c>
      <c r="I77" s="4">
        <v>-2.6681599999999999</v>
      </c>
      <c r="J77" s="3" t="s">
        <v>20</v>
      </c>
    </row>
    <row r="78" spans="1:10" x14ac:dyDescent="0.25">
      <c r="A78" s="3" t="s">
        <v>39</v>
      </c>
      <c r="B78" s="3" t="s">
        <v>0</v>
      </c>
      <c r="C78" s="3" t="s">
        <v>22</v>
      </c>
      <c r="D78" s="4">
        <v>9.3770000000000006E-2</v>
      </c>
      <c r="E78" s="4">
        <v>3032</v>
      </c>
      <c r="F78" s="4">
        <v>284.31063999999998</v>
      </c>
      <c r="G78" s="4">
        <v>0.11372425</v>
      </c>
      <c r="H78" s="3" t="s">
        <v>20</v>
      </c>
      <c r="I78" s="4">
        <v>0</v>
      </c>
      <c r="J78" s="3" t="s">
        <v>20</v>
      </c>
    </row>
    <row r="79" spans="1:10" x14ac:dyDescent="0.25">
      <c r="A79" s="3" t="s">
        <v>40</v>
      </c>
      <c r="B79" s="3" t="s">
        <v>0</v>
      </c>
      <c r="C79" s="3" t="s">
        <v>22</v>
      </c>
      <c r="D79" s="4">
        <v>9.3799999999999994E-2</v>
      </c>
      <c r="E79" s="4">
        <v>3032</v>
      </c>
      <c r="F79" s="4">
        <v>284.40159999999997</v>
      </c>
      <c r="G79" s="4">
        <v>0.11376064</v>
      </c>
      <c r="H79" s="3" t="s">
        <v>20</v>
      </c>
      <c r="I79" s="4">
        <v>-0.12128</v>
      </c>
      <c r="J79" s="3" t="s">
        <v>20</v>
      </c>
    </row>
    <row r="80" spans="1:10" x14ac:dyDescent="0.25">
      <c r="A80" s="3" t="s">
        <v>41</v>
      </c>
      <c r="B80" s="3" t="s">
        <v>0</v>
      </c>
      <c r="C80" s="3" t="s">
        <v>19</v>
      </c>
      <c r="D80" s="4">
        <v>9.3759999999999996E-2</v>
      </c>
      <c r="E80" s="4">
        <v>1557</v>
      </c>
      <c r="F80" s="4">
        <v>145.98432</v>
      </c>
      <c r="G80" s="4">
        <v>5.8393720000000003E-2</v>
      </c>
      <c r="H80" s="3" t="s">
        <v>20</v>
      </c>
      <c r="I80" s="4">
        <v>0</v>
      </c>
      <c r="J80" s="3" t="s">
        <v>20</v>
      </c>
    </row>
    <row r="81" spans="1:10" x14ac:dyDescent="0.25">
      <c r="A81" s="3" t="s">
        <v>41</v>
      </c>
      <c r="B81" s="3" t="s">
        <v>0</v>
      </c>
      <c r="C81" s="3" t="s">
        <v>19</v>
      </c>
      <c r="D81" s="4">
        <v>9.3759999999999996E-2</v>
      </c>
      <c r="E81" s="4">
        <v>1475</v>
      </c>
      <c r="F81" s="4">
        <v>138.29599999999999</v>
      </c>
      <c r="G81" s="4">
        <v>5.5318399999999997E-2</v>
      </c>
      <c r="H81" s="3" t="s">
        <v>20</v>
      </c>
      <c r="I81" s="4">
        <v>0</v>
      </c>
      <c r="J81" s="3" t="s">
        <v>20</v>
      </c>
    </row>
    <row r="82" spans="1:10" x14ac:dyDescent="0.25">
      <c r="A82" s="3" t="s">
        <v>42</v>
      </c>
      <c r="B82" s="3" t="s">
        <v>0</v>
      </c>
      <c r="C82" s="3" t="s">
        <v>19</v>
      </c>
      <c r="D82" s="4">
        <v>9.3759999999999996E-2</v>
      </c>
      <c r="E82" s="4">
        <v>3023</v>
      </c>
      <c r="F82" s="4">
        <v>283.43648000000002</v>
      </c>
      <c r="G82" s="4">
        <v>0.11337459</v>
      </c>
      <c r="H82" s="3" t="s">
        <v>20</v>
      </c>
      <c r="I82" s="4">
        <v>-0.90690000000000004</v>
      </c>
      <c r="J82" s="3" t="s">
        <v>20</v>
      </c>
    </row>
    <row r="83" spans="1:10" x14ac:dyDescent="0.25">
      <c r="A83" s="3" t="s">
        <v>43</v>
      </c>
      <c r="B83" s="3" t="s">
        <v>0</v>
      </c>
      <c r="C83" s="3" t="s">
        <v>22</v>
      </c>
      <c r="D83" s="4">
        <v>9.4060000000000005E-2</v>
      </c>
      <c r="E83" s="4">
        <v>3023</v>
      </c>
      <c r="F83" s="4">
        <v>284.34338000000002</v>
      </c>
      <c r="G83" s="4">
        <v>0.11373735</v>
      </c>
      <c r="H83" s="3" t="s">
        <v>20</v>
      </c>
      <c r="I83" s="4">
        <v>0</v>
      </c>
      <c r="J83" s="3" t="s">
        <v>20</v>
      </c>
    </row>
    <row r="84" spans="1:10" x14ac:dyDescent="0.25">
      <c r="A84" s="3" t="s">
        <v>44</v>
      </c>
      <c r="B84" s="3" t="s">
        <v>0</v>
      </c>
      <c r="C84" s="3" t="s">
        <v>22</v>
      </c>
      <c r="D84" s="4">
        <v>9.4049999999999995E-2</v>
      </c>
      <c r="E84" s="4">
        <v>3057</v>
      </c>
      <c r="F84" s="4">
        <v>287.51085</v>
      </c>
      <c r="G84" s="4">
        <v>0.11500433</v>
      </c>
      <c r="H84" s="3" t="s">
        <v>20</v>
      </c>
      <c r="I84" s="4">
        <v>-2.2010399999999999</v>
      </c>
      <c r="J84" s="3" t="s">
        <v>20</v>
      </c>
    </row>
    <row r="85" spans="1:10" x14ac:dyDescent="0.25">
      <c r="A85" s="3" t="s">
        <v>45</v>
      </c>
      <c r="B85" s="3" t="s">
        <v>1</v>
      </c>
      <c r="C85" s="3" t="s">
        <v>19</v>
      </c>
      <c r="D85" s="4">
        <v>4.7119999999999997</v>
      </c>
      <c r="E85" s="4">
        <v>60.55</v>
      </c>
      <c r="F85" s="4">
        <v>285.3116</v>
      </c>
      <c r="G85" s="4">
        <v>0.11412464</v>
      </c>
      <c r="H85" s="3" t="s">
        <v>20</v>
      </c>
      <c r="I85" s="4">
        <v>0</v>
      </c>
      <c r="J85" s="3" t="s">
        <v>20</v>
      </c>
    </row>
    <row r="86" spans="1:10" x14ac:dyDescent="0.25">
      <c r="A86" s="3" t="s">
        <v>46</v>
      </c>
      <c r="B86" s="3" t="s">
        <v>1</v>
      </c>
      <c r="C86" s="3" t="s">
        <v>19</v>
      </c>
      <c r="D86" s="4">
        <v>4.7119999999999997</v>
      </c>
      <c r="E86" s="4">
        <v>61.67</v>
      </c>
      <c r="F86" s="4">
        <v>290.58904000000001</v>
      </c>
      <c r="G86" s="4">
        <v>0.11623561</v>
      </c>
      <c r="H86" s="3" t="s">
        <v>20</v>
      </c>
      <c r="I86" s="4">
        <v>4.0085499999999996</v>
      </c>
      <c r="J86" s="3" t="s">
        <v>20</v>
      </c>
    </row>
    <row r="87" spans="1:10" x14ac:dyDescent="0.25">
      <c r="A87" s="3" t="s">
        <v>47</v>
      </c>
      <c r="B87" s="3" t="s">
        <v>0</v>
      </c>
      <c r="C87" s="3" t="s">
        <v>19</v>
      </c>
      <c r="D87" s="4">
        <v>9.3329999999999996E-2</v>
      </c>
      <c r="E87" s="4">
        <v>3057</v>
      </c>
      <c r="F87" s="4">
        <v>285.30981000000003</v>
      </c>
      <c r="G87" s="4">
        <v>0.11412392</v>
      </c>
      <c r="H87" s="3" t="s">
        <v>20</v>
      </c>
      <c r="I87" s="4">
        <v>0</v>
      </c>
      <c r="J87" s="3" t="s">
        <v>20</v>
      </c>
    </row>
    <row r="88" spans="1:10" x14ac:dyDescent="0.25">
      <c r="A88" s="3" t="s">
        <v>48</v>
      </c>
      <c r="B88" s="3" t="s">
        <v>0</v>
      </c>
      <c r="C88" s="3" t="s">
        <v>19</v>
      </c>
      <c r="D88" s="4">
        <v>9.3340000000000006E-2</v>
      </c>
      <c r="E88" s="4">
        <v>3054</v>
      </c>
      <c r="F88" s="4">
        <v>285.06036</v>
      </c>
      <c r="G88" s="4">
        <v>0.11402414</v>
      </c>
      <c r="H88" s="3" t="s">
        <v>20</v>
      </c>
      <c r="I88" s="4">
        <v>-0.11431999</v>
      </c>
      <c r="J88" s="3" t="s">
        <v>20</v>
      </c>
    </row>
    <row r="89" spans="1:10" x14ac:dyDescent="0.25">
      <c r="A89" s="3" t="s">
        <v>49</v>
      </c>
      <c r="B89" s="3" t="s">
        <v>0</v>
      </c>
      <c r="C89" s="3" t="s">
        <v>22</v>
      </c>
      <c r="D89" s="4">
        <v>9.3390000000000001E-2</v>
      </c>
      <c r="E89" s="4">
        <v>709</v>
      </c>
      <c r="F89" s="4">
        <v>66.213509999999999</v>
      </c>
      <c r="G89" s="4">
        <v>2.6485399999999999E-2</v>
      </c>
      <c r="H89" s="3" t="s">
        <v>20</v>
      </c>
      <c r="I89" s="4">
        <v>0</v>
      </c>
      <c r="J89" s="3" t="s">
        <v>20</v>
      </c>
    </row>
    <row r="90" spans="1:10" x14ac:dyDescent="0.25">
      <c r="A90" s="3" t="s">
        <v>49</v>
      </c>
      <c r="B90" s="3" t="s">
        <v>0</v>
      </c>
      <c r="C90" s="3" t="s">
        <v>22</v>
      </c>
      <c r="D90" s="4">
        <v>9.3390000000000001E-2</v>
      </c>
      <c r="E90" s="4">
        <v>28</v>
      </c>
      <c r="F90" s="4">
        <v>2.6149200000000001</v>
      </c>
      <c r="G90" s="4">
        <v>1.0459600000000001E-3</v>
      </c>
      <c r="H90" s="3" t="s">
        <v>20</v>
      </c>
      <c r="I90" s="4">
        <v>0</v>
      </c>
      <c r="J90" s="3" t="s">
        <v>20</v>
      </c>
    </row>
    <row r="91" spans="1:10" x14ac:dyDescent="0.25">
      <c r="A91" s="3" t="s">
        <v>49</v>
      </c>
      <c r="B91" s="3" t="s">
        <v>0</v>
      </c>
      <c r="C91" s="3" t="s">
        <v>22</v>
      </c>
      <c r="D91" s="4">
        <v>9.3390000000000001E-2</v>
      </c>
      <c r="E91" s="4">
        <v>36</v>
      </c>
      <c r="F91" s="4">
        <v>3.3620399999999999</v>
      </c>
      <c r="G91" s="4">
        <v>1.3448100000000001E-3</v>
      </c>
      <c r="H91" s="3" t="s">
        <v>20</v>
      </c>
      <c r="I91" s="4">
        <v>0</v>
      </c>
      <c r="J91" s="3" t="s">
        <v>20</v>
      </c>
    </row>
    <row r="92" spans="1:10" x14ac:dyDescent="0.25">
      <c r="A92" s="3" t="s">
        <v>49</v>
      </c>
      <c r="B92" s="3" t="s">
        <v>0</v>
      </c>
      <c r="C92" s="3" t="s">
        <v>22</v>
      </c>
      <c r="D92" s="4">
        <v>9.3380000000000005E-2</v>
      </c>
      <c r="E92" s="4">
        <v>16</v>
      </c>
      <c r="F92" s="4">
        <v>1.4940800000000001</v>
      </c>
      <c r="G92" s="4">
        <v>5.9763000000000004E-4</v>
      </c>
      <c r="H92" s="3" t="s">
        <v>20</v>
      </c>
      <c r="I92" s="4">
        <v>0</v>
      </c>
      <c r="J92" s="3" t="s">
        <v>20</v>
      </c>
    </row>
    <row r="93" spans="1:10" x14ac:dyDescent="0.25">
      <c r="A93" s="3" t="s">
        <v>49</v>
      </c>
      <c r="B93" s="3" t="s">
        <v>0</v>
      </c>
      <c r="C93" s="3" t="s">
        <v>22</v>
      </c>
      <c r="D93" s="4">
        <v>9.3380000000000005E-2</v>
      </c>
      <c r="E93" s="4">
        <v>66</v>
      </c>
      <c r="F93" s="4">
        <v>6.1630799999999999</v>
      </c>
      <c r="G93" s="4">
        <v>2.4652300000000001E-3</v>
      </c>
      <c r="H93" s="3" t="s">
        <v>20</v>
      </c>
      <c r="I93" s="4">
        <v>0</v>
      </c>
      <c r="J93" s="3" t="s">
        <v>20</v>
      </c>
    </row>
    <row r="94" spans="1:10" x14ac:dyDescent="0.25">
      <c r="A94" s="3" t="s">
        <v>49</v>
      </c>
      <c r="B94" s="3" t="s">
        <v>0</v>
      </c>
      <c r="C94" s="3" t="s">
        <v>22</v>
      </c>
      <c r="D94" s="4">
        <v>9.3380000000000005E-2</v>
      </c>
      <c r="E94" s="4">
        <v>642</v>
      </c>
      <c r="F94" s="4">
        <v>59.949959999999997</v>
      </c>
      <c r="G94" s="4">
        <v>2.3979980000000001E-2</v>
      </c>
      <c r="H94" s="3" t="s">
        <v>20</v>
      </c>
      <c r="I94" s="4">
        <v>0</v>
      </c>
      <c r="J94" s="3" t="s">
        <v>20</v>
      </c>
    </row>
    <row r="95" spans="1:10" x14ac:dyDescent="0.25">
      <c r="A95" s="3" t="s">
        <v>49</v>
      </c>
      <c r="B95" s="3" t="s">
        <v>0</v>
      </c>
      <c r="C95" s="3" t="s">
        <v>22</v>
      </c>
      <c r="D95" s="4">
        <v>9.3369999999999995E-2</v>
      </c>
      <c r="E95" s="4">
        <v>1557</v>
      </c>
      <c r="F95" s="4">
        <v>145.37709000000001</v>
      </c>
      <c r="G95" s="4">
        <v>5.8150830000000001E-2</v>
      </c>
      <c r="H95" s="3" t="s">
        <v>20</v>
      </c>
      <c r="I95" s="4">
        <v>0</v>
      </c>
      <c r="J95" s="3" t="s">
        <v>20</v>
      </c>
    </row>
    <row r="96" spans="1:10" x14ac:dyDescent="0.25">
      <c r="A96" s="3" t="s">
        <v>50</v>
      </c>
      <c r="B96" s="3" t="s">
        <v>0</v>
      </c>
      <c r="C96" s="3" t="s">
        <v>22</v>
      </c>
      <c r="D96" s="4">
        <v>9.3329999999999996E-2</v>
      </c>
      <c r="E96" s="4">
        <v>2966</v>
      </c>
      <c r="F96" s="4">
        <v>276.81677999999999</v>
      </c>
      <c r="G96" s="4">
        <v>0.11072671000000001</v>
      </c>
      <c r="H96" s="3" t="s">
        <v>20</v>
      </c>
      <c r="I96" s="4">
        <v>8.8980000000000004E-2</v>
      </c>
      <c r="J96" s="3" t="s">
        <v>20</v>
      </c>
    </row>
    <row r="97" spans="1:10" x14ac:dyDescent="0.25">
      <c r="A97" s="3" t="s">
        <v>50</v>
      </c>
      <c r="B97" s="3" t="s">
        <v>0</v>
      </c>
      <c r="C97" s="3" t="s">
        <v>22</v>
      </c>
      <c r="D97" s="4">
        <v>9.3299999999999994E-2</v>
      </c>
      <c r="E97" s="4">
        <v>89</v>
      </c>
      <c r="F97" s="4">
        <v>8.3036999999999992</v>
      </c>
      <c r="G97" s="4">
        <v>3.3214799999999999E-3</v>
      </c>
      <c r="H97" s="3" t="s">
        <v>20</v>
      </c>
      <c r="I97" s="4">
        <v>5.3400000000000001E-3</v>
      </c>
      <c r="J97" s="3" t="s">
        <v>20</v>
      </c>
    </row>
    <row r="98" spans="1:10" x14ac:dyDescent="0.25">
      <c r="A98" s="3" t="s">
        <v>51</v>
      </c>
      <c r="B98" s="3" t="s">
        <v>3</v>
      </c>
      <c r="C98" s="3" t="s">
        <v>19</v>
      </c>
      <c r="D98" s="4">
        <v>229.26</v>
      </c>
      <c r="E98" s="4">
        <v>1.244</v>
      </c>
      <c r="F98" s="4">
        <v>285.19943999999998</v>
      </c>
      <c r="G98" s="4">
        <v>0.11407977</v>
      </c>
      <c r="H98" s="3" t="s">
        <v>20</v>
      </c>
      <c r="I98" s="4">
        <v>0</v>
      </c>
      <c r="J98" s="3" t="s">
        <v>20</v>
      </c>
    </row>
    <row r="99" spans="1:10" x14ac:dyDescent="0.25">
      <c r="A99" s="3" t="s">
        <v>52</v>
      </c>
      <c r="B99" s="3" t="s">
        <v>0</v>
      </c>
      <c r="C99" s="3" t="s">
        <v>19</v>
      </c>
      <c r="D99" s="4">
        <v>9.3359999999999999E-2</v>
      </c>
      <c r="E99" s="4">
        <v>3055</v>
      </c>
      <c r="F99" s="4">
        <v>285.21480000000003</v>
      </c>
      <c r="G99" s="4">
        <v>0.11408591</v>
      </c>
      <c r="H99" s="3" t="s">
        <v>20</v>
      </c>
      <c r="I99" s="4">
        <v>0</v>
      </c>
      <c r="J99" s="3" t="s">
        <v>20</v>
      </c>
    </row>
    <row r="100" spans="1:10" x14ac:dyDescent="0.25">
      <c r="A100" s="3" t="s">
        <v>53</v>
      </c>
      <c r="B100" s="3" t="s">
        <v>0</v>
      </c>
      <c r="C100" s="3" t="s">
        <v>19</v>
      </c>
      <c r="D100" s="4">
        <v>9.3359999999999999E-2</v>
      </c>
      <c r="E100" s="4">
        <v>3030</v>
      </c>
      <c r="F100" s="4">
        <v>282.88080000000002</v>
      </c>
      <c r="G100" s="4">
        <v>0.11315232</v>
      </c>
      <c r="H100" s="3" t="s">
        <v>20</v>
      </c>
      <c r="I100" s="4">
        <v>-2.7875999999999999</v>
      </c>
      <c r="J100" s="3" t="s">
        <v>20</v>
      </c>
    </row>
    <row r="101" spans="1:10" x14ac:dyDescent="0.25">
      <c r="A101" s="3" t="s">
        <v>54</v>
      </c>
      <c r="B101" s="3" t="s">
        <v>0</v>
      </c>
      <c r="C101" s="3" t="s">
        <v>22</v>
      </c>
      <c r="D101" s="4">
        <v>9.4280000000000003E-2</v>
      </c>
      <c r="E101" s="4">
        <v>3030</v>
      </c>
      <c r="F101" s="4">
        <v>285.66840000000002</v>
      </c>
      <c r="G101" s="4">
        <v>0.11426736</v>
      </c>
      <c r="H101" s="3" t="s">
        <v>20</v>
      </c>
      <c r="I101" s="4">
        <v>0</v>
      </c>
      <c r="J101" s="3" t="s">
        <v>20</v>
      </c>
    </row>
    <row r="102" spans="1:10" x14ac:dyDescent="0.25">
      <c r="A102" s="3" t="s">
        <v>55</v>
      </c>
      <c r="B102" s="3" t="s">
        <v>0</v>
      </c>
      <c r="C102" s="3" t="s">
        <v>22</v>
      </c>
      <c r="D102" s="4">
        <v>9.4280000000000003E-2</v>
      </c>
      <c r="E102" s="4">
        <v>1995</v>
      </c>
      <c r="F102" s="4">
        <v>188.08860000000001</v>
      </c>
      <c r="G102" s="4">
        <v>7.5235440000000001E-2</v>
      </c>
      <c r="H102" s="3" t="s">
        <v>20</v>
      </c>
      <c r="I102" s="4">
        <v>-4.7142499999999997E-3</v>
      </c>
      <c r="J102" s="3" t="s">
        <v>20</v>
      </c>
    </row>
    <row r="103" spans="1:10" x14ac:dyDescent="0.25">
      <c r="A103" s="3" t="s">
        <v>55</v>
      </c>
      <c r="B103" s="3" t="s">
        <v>0</v>
      </c>
      <c r="C103" s="3" t="s">
        <v>22</v>
      </c>
      <c r="D103" s="4">
        <v>9.4280000000000003E-2</v>
      </c>
      <c r="E103" s="4">
        <v>1035</v>
      </c>
      <c r="F103" s="4">
        <v>97.579800000000006</v>
      </c>
      <c r="G103" s="4">
        <v>3.9031910000000003E-2</v>
      </c>
      <c r="H103" s="3" t="s">
        <v>20</v>
      </c>
      <c r="I103" s="4">
        <v>-2.4457400000000001E-3</v>
      </c>
      <c r="J103" s="3" t="s">
        <v>20</v>
      </c>
    </row>
    <row r="104" spans="1:10" x14ac:dyDescent="0.25">
      <c r="A104" s="3" t="s">
        <v>56</v>
      </c>
      <c r="B104" s="3" t="s">
        <v>0</v>
      </c>
      <c r="C104" s="3" t="s">
        <v>19</v>
      </c>
      <c r="D104" s="4">
        <v>9.4270000000000007E-2</v>
      </c>
      <c r="E104" s="4">
        <v>310</v>
      </c>
      <c r="F104" s="4">
        <v>29.223700000000001</v>
      </c>
      <c r="G104" s="4">
        <v>1.168948E-2</v>
      </c>
      <c r="H104" s="3" t="s">
        <v>20</v>
      </c>
      <c r="I104" s="4">
        <v>0</v>
      </c>
      <c r="J104" s="3" t="s">
        <v>20</v>
      </c>
    </row>
    <row r="105" spans="1:10" x14ac:dyDescent="0.25">
      <c r="A105" s="3" t="s">
        <v>56</v>
      </c>
      <c r="B105" s="3" t="s">
        <v>0</v>
      </c>
      <c r="C105" s="3" t="s">
        <v>19</v>
      </c>
      <c r="D105" s="4">
        <v>9.4270000000000007E-2</v>
      </c>
      <c r="E105" s="4">
        <v>316</v>
      </c>
      <c r="F105" s="4">
        <v>29.78932</v>
      </c>
      <c r="G105" s="4">
        <v>1.1915719999999999E-2</v>
      </c>
      <c r="H105" s="3" t="s">
        <v>20</v>
      </c>
      <c r="I105" s="4">
        <v>0</v>
      </c>
      <c r="J105" s="3" t="s">
        <v>20</v>
      </c>
    </row>
    <row r="106" spans="1:10" x14ac:dyDescent="0.25">
      <c r="A106" s="3" t="s">
        <v>56</v>
      </c>
      <c r="B106" s="3" t="s">
        <v>0</v>
      </c>
      <c r="C106" s="3" t="s">
        <v>19</v>
      </c>
      <c r="D106" s="4">
        <v>9.4270000000000007E-2</v>
      </c>
      <c r="E106" s="4">
        <v>90</v>
      </c>
      <c r="F106" s="4">
        <v>8.4842999999999993</v>
      </c>
      <c r="G106" s="4">
        <v>3.3937199999999998E-3</v>
      </c>
      <c r="H106" s="3" t="s">
        <v>20</v>
      </c>
      <c r="I106" s="4">
        <v>0</v>
      </c>
      <c r="J106" s="3" t="s">
        <v>20</v>
      </c>
    </row>
    <row r="107" spans="1:10" x14ac:dyDescent="0.25">
      <c r="A107" s="3" t="s">
        <v>56</v>
      </c>
      <c r="B107" s="3" t="s">
        <v>0</v>
      </c>
      <c r="C107" s="3" t="s">
        <v>19</v>
      </c>
      <c r="D107" s="4">
        <v>9.4280000000000003E-2</v>
      </c>
      <c r="E107" s="4">
        <v>2314</v>
      </c>
      <c r="F107" s="4">
        <v>218.16391999999999</v>
      </c>
      <c r="G107" s="4">
        <v>8.7265560000000006E-2</v>
      </c>
      <c r="H107" s="3" t="s">
        <v>20</v>
      </c>
      <c r="I107" s="4">
        <v>0</v>
      </c>
      <c r="J107" s="3" t="s">
        <v>20</v>
      </c>
    </row>
    <row r="108" spans="1:10" x14ac:dyDescent="0.25">
      <c r="A108" s="3" t="s">
        <v>57</v>
      </c>
      <c r="B108" s="3" t="s">
        <v>0</v>
      </c>
      <c r="C108" s="3" t="s">
        <v>19</v>
      </c>
      <c r="D108" s="4">
        <v>9.4299999999999995E-2</v>
      </c>
      <c r="E108" s="4">
        <v>549</v>
      </c>
      <c r="F108" s="4">
        <v>51.770699999999998</v>
      </c>
      <c r="G108" s="4">
        <v>2.0708270000000001E-2</v>
      </c>
      <c r="H108" s="3" t="s">
        <v>20</v>
      </c>
      <c r="I108" s="4">
        <v>-0.52703999999999995</v>
      </c>
      <c r="J108" s="3" t="s">
        <v>20</v>
      </c>
    </row>
    <row r="109" spans="1:10" x14ac:dyDescent="0.25">
      <c r="A109" s="3" t="s">
        <v>57</v>
      </c>
      <c r="B109" s="3" t="s">
        <v>0</v>
      </c>
      <c r="C109" s="3" t="s">
        <v>19</v>
      </c>
      <c r="D109" s="4">
        <v>9.4299999999999995E-2</v>
      </c>
      <c r="E109" s="4">
        <v>1000</v>
      </c>
      <c r="F109" s="4">
        <v>94.3</v>
      </c>
      <c r="G109" s="4">
        <v>3.7719999999999997E-2</v>
      </c>
      <c r="H109" s="3" t="s">
        <v>20</v>
      </c>
      <c r="I109" s="4">
        <v>-0.96</v>
      </c>
      <c r="J109" s="3" t="s">
        <v>20</v>
      </c>
    </row>
    <row r="110" spans="1:10" x14ac:dyDescent="0.25">
      <c r="A110" s="3" t="s">
        <v>57</v>
      </c>
      <c r="B110" s="3" t="s">
        <v>0</v>
      </c>
      <c r="C110" s="3" t="s">
        <v>19</v>
      </c>
      <c r="D110" s="4">
        <v>9.4299999999999995E-2</v>
      </c>
      <c r="E110" s="4">
        <v>19</v>
      </c>
      <c r="F110" s="4">
        <v>1.7917000000000001</v>
      </c>
      <c r="G110" s="4">
        <v>7.1668000000000003E-4</v>
      </c>
      <c r="H110" s="3" t="s">
        <v>20</v>
      </c>
      <c r="I110" s="4">
        <v>-1.8239999999999999E-2</v>
      </c>
      <c r="J110" s="3" t="s">
        <v>20</v>
      </c>
    </row>
    <row r="111" spans="1:10" x14ac:dyDescent="0.25">
      <c r="A111" s="3" t="s">
        <v>57</v>
      </c>
      <c r="B111" s="3" t="s">
        <v>0</v>
      </c>
      <c r="C111" s="3" t="s">
        <v>19</v>
      </c>
      <c r="D111" s="4">
        <v>9.4310000000000005E-2</v>
      </c>
      <c r="E111" s="4">
        <v>476</v>
      </c>
      <c r="F111" s="4">
        <v>44.891559999999998</v>
      </c>
      <c r="G111" s="4">
        <v>1.795662E-2</v>
      </c>
      <c r="H111" s="3" t="s">
        <v>20</v>
      </c>
      <c r="I111" s="4">
        <v>-0.45219999999999999</v>
      </c>
      <c r="J111" s="3" t="s">
        <v>20</v>
      </c>
    </row>
    <row r="112" spans="1:10" x14ac:dyDescent="0.25">
      <c r="A112" s="3" t="s">
        <v>57</v>
      </c>
      <c r="B112" s="3" t="s">
        <v>0</v>
      </c>
      <c r="C112" s="3" t="s">
        <v>19</v>
      </c>
      <c r="D112" s="4">
        <v>9.4320000000000001E-2</v>
      </c>
      <c r="E112" s="4">
        <v>956</v>
      </c>
      <c r="F112" s="4">
        <v>90.169920000000005</v>
      </c>
      <c r="G112" s="4">
        <v>3.6067960000000003E-2</v>
      </c>
      <c r="H112" s="3" t="s">
        <v>20</v>
      </c>
      <c r="I112" s="4">
        <v>-0.89863999999999999</v>
      </c>
      <c r="J112" s="3" t="s">
        <v>20</v>
      </c>
    </row>
    <row r="113" spans="1:10" x14ac:dyDescent="0.25">
      <c r="A113" s="3" t="s">
        <v>58</v>
      </c>
      <c r="B113" s="3" t="s">
        <v>0</v>
      </c>
      <c r="C113" s="3" t="s">
        <v>22</v>
      </c>
      <c r="D113" s="4">
        <v>9.5259999999999997E-2</v>
      </c>
      <c r="E113" s="4">
        <v>3000</v>
      </c>
      <c r="F113" s="4">
        <v>285.77999999999997</v>
      </c>
      <c r="G113" s="4">
        <v>0.11431199</v>
      </c>
      <c r="H113" s="3" t="s">
        <v>20</v>
      </c>
      <c r="I113" s="4">
        <v>0</v>
      </c>
      <c r="J113" s="3" t="s">
        <v>20</v>
      </c>
    </row>
    <row r="114" spans="1:10" x14ac:dyDescent="0.25">
      <c r="A114" s="3" t="s">
        <v>59</v>
      </c>
      <c r="B114" s="3" t="s">
        <v>0</v>
      </c>
      <c r="C114" s="3" t="s">
        <v>22</v>
      </c>
      <c r="D114" s="4">
        <v>9.5259999999999997E-2</v>
      </c>
      <c r="E114" s="4">
        <v>3012</v>
      </c>
      <c r="F114" s="4">
        <v>286.92311999999998</v>
      </c>
      <c r="G114" s="4">
        <v>0.11476923999999999</v>
      </c>
      <c r="H114" s="3" t="s">
        <v>20</v>
      </c>
      <c r="I114" s="4">
        <v>-1.1948000000000001</v>
      </c>
      <c r="J114" s="3" t="s">
        <v>20</v>
      </c>
    </row>
    <row r="115" spans="1:10" x14ac:dyDescent="0.25">
      <c r="A115" s="3" t="s">
        <v>60</v>
      </c>
      <c r="B115" s="3" t="s">
        <v>0</v>
      </c>
      <c r="C115" s="3" t="s">
        <v>19</v>
      </c>
      <c r="D115" s="4">
        <v>9.486E-2</v>
      </c>
      <c r="E115" s="4">
        <v>2012</v>
      </c>
      <c r="F115" s="4">
        <v>190.85831999999999</v>
      </c>
      <c r="G115" s="4">
        <v>7.6343320000000006E-2</v>
      </c>
      <c r="H115" s="3" t="s">
        <v>20</v>
      </c>
      <c r="I115" s="4">
        <v>0</v>
      </c>
      <c r="J115" s="3" t="s">
        <v>20</v>
      </c>
    </row>
    <row r="116" spans="1:10" x14ac:dyDescent="0.25">
      <c r="A116" s="3" t="s">
        <v>60</v>
      </c>
      <c r="B116" s="3" t="s">
        <v>0</v>
      </c>
      <c r="C116" s="3" t="s">
        <v>19</v>
      </c>
      <c r="D116" s="4">
        <v>9.4869999999999996E-2</v>
      </c>
      <c r="E116" s="4">
        <v>1000</v>
      </c>
      <c r="F116" s="4">
        <v>94.87</v>
      </c>
      <c r="G116" s="4">
        <v>3.7948000000000003E-2</v>
      </c>
      <c r="H116" s="3" t="s">
        <v>20</v>
      </c>
      <c r="I116" s="4">
        <v>0</v>
      </c>
      <c r="J116" s="3" t="s">
        <v>20</v>
      </c>
    </row>
    <row r="117" spans="1:10" x14ac:dyDescent="0.25">
      <c r="A117" s="3" t="s">
        <v>61</v>
      </c>
      <c r="B117" s="3" t="s">
        <v>0</v>
      </c>
      <c r="C117" s="3" t="s">
        <v>19</v>
      </c>
      <c r="D117" s="4">
        <v>9.486E-2</v>
      </c>
      <c r="E117" s="4">
        <v>1296</v>
      </c>
      <c r="F117" s="4">
        <v>122.93856</v>
      </c>
      <c r="G117" s="4">
        <v>4.9175419999999997E-2</v>
      </c>
      <c r="H117" s="3" t="s">
        <v>20</v>
      </c>
      <c r="I117" s="4">
        <v>0.14255999999999999</v>
      </c>
      <c r="J117" s="3" t="s">
        <v>20</v>
      </c>
    </row>
    <row r="118" spans="1:10" x14ac:dyDescent="0.25">
      <c r="A118" s="3" t="s">
        <v>61</v>
      </c>
      <c r="B118" s="3" t="s">
        <v>0</v>
      </c>
      <c r="C118" s="3" t="s">
        <v>19</v>
      </c>
      <c r="D118" s="4">
        <v>9.4869999999999996E-2</v>
      </c>
      <c r="E118" s="4">
        <v>1710</v>
      </c>
      <c r="F118" s="4">
        <v>162.2277</v>
      </c>
      <c r="G118" s="4">
        <v>6.4891080000000004E-2</v>
      </c>
      <c r="H118" s="3" t="s">
        <v>20</v>
      </c>
      <c r="I118" s="4">
        <v>0.20519999999999999</v>
      </c>
      <c r="J118" s="3" t="s">
        <v>20</v>
      </c>
    </row>
    <row r="119" spans="1:10" x14ac:dyDescent="0.25">
      <c r="A119" s="3" t="s">
        <v>61</v>
      </c>
      <c r="B119" s="3" t="s">
        <v>0</v>
      </c>
      <c r="C119" s="3" t="s">
        <v>19</v>
      </c>
      <c r="D119" s="4">
        <v>9.4880000000000006E-2</v>
      </c>
      <c r="E119" s="4">
        <v>10</v>
      </c>
      <c r="F119" s="4">
        <v>0.94879999999999998</v>
      </c>
      <c r="G119" s="4">
        <v>3.7952E-4</v>
      </c>
      <c r="H119" s="3" t="s">
        <v>20</v>
      </c>
      <c r="I119" s="4">
        <v>1.2999999999999999E-3</v>
      </c>
      <c r="J119" s="3" t="s">
        <v>20</v>
      </c>
    </row>
    <row r="120" spans="1:10" x14ac:dyDescent="0.25">
      <c r="A120" s="3" t="s">
        <v>62</v>
      </c>
      <c r="B120" s="3" t="s">
        <v>0</v>
      </c>
      <c r="C120" s="3" t="s">
        <v>22</v>
      </c>
      <c r="D120" s="4">
        <v>9.4750000000000001E-2</v>
      </c>
      <c r="E120" s="4">
        <v>3016</v>
      </c>
      <c r="F120" s="4">
        <v>285.76600000000002</v>
      </c>
      <c r="G120" s="4">
        <v>0.1143064</v>
      </c>
      <c r="H120" s="3" t="s">
        <v>20</v>
      </c>
      <c r="I120" s="4">
        <v>0</v>
      </c>
      <c r="J120" s="3" t="s">
        <v>20</v>
      </c>
    </row>
    <row r="121" spans="1:10" x14ac:dyDescent="0.25">
      <c r="A121" s="3" t="s">
        <v>63</v>
      </c>
      <c r="B121" s="3" t="s">
        <v>0</v>
      </c>
      <c r="C121" s="3" t="s">
        <v>22</v>
      </c>
      <c r="D121" s="4">
        <v>9.4750000000000001E-2</v>
      </c>
      <c r="E121" s="4">
        <v>3018</v>
      </c>
      <c r="F121" s="4">
        <v>285.95549999999997</v>
      </c>
      <c r="G121" s="4">
        <v>0.1143822</v>
      </c>
      <c r="H121" s="3" t="s">
        <v>20</v>
      </c>
      <c r="I121" s="4">
        <v>-0.33198</v>
      </c>
      <c r="J121" s="3" t="s">
        <v>20</v>
      </c>
    </row>
    <row r="122" spans="1:10" x14ac:dyDescent="0.25">
      <c r="A122" s="3" t="s">
        <v>64</v>
      </c>
      <c r="B122" s="3" t="s">
        <v>0</v>
      </c>
      <c r="C122" s="3" t="s">
        <v>19</v>
      </c>
      <c r="D122" s="4">
        <v>9.4640000000000002E-2</v>
      </c>
      <c r="E122" s="4">
        <v>3018</v>
      </c>
      <c r="F122" s="4">
        <v>285.62351999999998</v>
      </c>
      <c r="G122" s="4">
        <v>0.1142494</v>
      </c>
      <c r="H122" s="3" t="s">
        <v>20</v>
      </c>
      <c r="I122" s="4">
        <v>0</v>
      </c>
      <c r="J122" s="3" t="s">
        <v>20</v>
      </c>
    </row>
    <row r="123" spans="1:10" x14ac:dyDescent="0.25">
      <c r="A123" s="3" t="s">
        <v>65</v>
      </c>
      <c r="B123" s="3" t="s">
        <v>0</v>
      </c>
      <c r="C123" s="3" t="s">
        <v>19</v>
      </c>
      <c r="D123" s="4">
        <v>9.4630000000000006E-2</v>
      </c>
      <c r="E123" s="4">
        <v>2964</v>
      </c>
      <c r="F123" s="4">
        <v>280.48331999999999</v>
      </c>
      <c r="G123" s="4">
        <v>0.11219332</v>
      </c>
      <c r="H123" s="3" t="s">
        <v>20</v>
      </c>
      <c r="I123" s="4">
        <v>-5.3036399899999997</v>
      </c>
      <c r="J123" s="3" t="s">
        <v>20</v>
      </c>
    </row>
    <row r="124" spans="1:10" x14ac:dyDescent="0.25">
      <c r="A124" s="3" t="s">
        <v>66</v>
      </c>
      <c r="B124" s="3" t="s">
        <v>0</v>
      </c>
      <c r="C124" s="3" t="s">
        <v>22</v>
      </c>
      <c r="D124" s="4">
        <v>9.6439999999999998E-2</v>
      </c>
      <c r="E124" s="4">
        <v>1434</v>
      </c>
      <c r="F124" s="4">
        <v>138.29496</v>
      </c>
      <c r="G124" s="4">
        <v>5.5317980000000003E-2</v>
      </c>
      <c r="H124" s="3" t="s">
        <v>20</v>
      </c>
      <c r="I124" s="4">
        <v>0</v>
      </c>
      <c r="J124" s="3" t="s">
        <v>20</v>
      </c>
    </row>
    <row r="125" spans="1:10" x14ac:dyDescent="0.25">
      <c r="A125" s="3" t="s">
        <v>66</v>
      </c>
      <c r="B125" s="3" t="s">
        <v>0</v>
      </c>
      <c r="C125" s="3" t="s">
        <v>22</v>
      </c>
      <c r="D125" s="4">
        <v>9.64E-2</v>
      </c>
      <c r="E125" s="4">
        <v>1530</v>
      </c>
      <c r="F125" s="4">
        <v>147.49199999999999</v>
      </c>
      <c r="G125" s="4">
        <v>5.8996800000000002E-2</v>
      </c>
      <c r="H125" s="3" t="s">
        <v>20</v>
      </c>
      <c r="I125" s="4">
        <v>0</v>
      </c>
      <c r="J125" s="3" t="s">
        <v>20</v>
      </c>
    </row>
    <row r="126" spans="1:10" x14ac:dyDescent="0.25">
      <c r="A126" s="3" t="s">
        <v>67</v>
      </c>
      <c r="B126" s="3" t="s">
        <v>0</v>
      </c>
      <c r="C126" s="3" t="s">
        <v>22</v>
      </c>
      <c r="D126" s="4">
        <v>9.6439999999999998E-2</v>
      </c>
      <c r="E126" s="4">
        <v>3005</v>
      </c>
      <c r="F126" s="4">
        <v>289.80220000000003</v>
      </c>
      <c r="G126" s="4">
        <v>0.11592088</v>
      </c>
      <c r="H126" s="3" t="s">
        <v>20</v>
      </c>
      <c r="I126" s="4">
        <v>-3.63605</v>
      </c>
      <c r="J126" s="3" t="s">
        <v>20</v>
      </c>
    </row>
    <row r="127" spans="1:10" x14ac:dyDescent="0.25">
      <c r="A127" s="3" t="s">
        <v>68</v>
      </c>
      <c r="B127" s="3" t="s">
        <v>0</v>
      </c>
      <c r="C127" s="3" t="s">
        <v>19</v>
      </c>
      <c r="D127" s="4">
        <v>9.5229999999999995E-2</v>
      </c>
      <c r="E127" s="4">
        <v>3005</v>
      </c>
      <c r="F127" s="4">
        <v>286.16615000000002</v>
      </c>
      <c r="G127" s="4">
        <v>0.11446646000000001</v>
      </c>
      <c r="H127" s="3" t="s">
        <v>20</v>
      </c>
      <c r="I127" s="4">
        <v>0</v>
      </c>
      <c r="J127" s="3" t="s">
        <v>20</v>
      </c>
    </row>
    <row r="128" spans="1:10" x14ac:dyDescent="0.25">
      <c r="A128" s="3" t="s">
        <v>69</v>
      </c>
      <c r="B128" s="3" t="s">
        <v>0</v>
      </c>
      <c r="C128" s="3" t="s">
        <v>19</v>
      </c>
      <c r="D128" s="4">
        <v>9.5229999999999995E-2</v>
      </c>
      <c r="E128" s="4">
        <v>3057</v>
      </c>
      <c r="F128" s="4">
        <v>291.11811</v>
      </c>
      <c r="G128" s="4">
        <v>0.11644723999999999</v>
      </c>
      <c r="H128" s="3" t="s">
        <v>20</v>
      </c>
      <c r="I128" s="4">
        <v>5.5943100000000001</v>
      </c>
      <c r="J128" s="3" t="s">
        <v>20</v>
      </c>
    </row>
    <row r="129" spans="1:10" x14ac:dyDescent="0.25">
      <c r="A129" s="3" t="s">
        <v>70</v>
      </c>
      <c r="B129" s="3" t="s">
        <v>0</v>
      </c>
      <c r="C129" s="3" t="s">
        <v>22</v>
      </c>
      <c r="D129" s="4">
        <v>9.3399999999999997E-2</v>
      </c>
      <c r="E129" s="4">
        <v>3057</v>
      </c>
      <c r="F129" s="4">
        <v>285.52379999999999</v>
      </c>
      <c r="G129" s="4">
        <v>0.11420951999999999</v>
      </c>
      <c r="H129" s="3" t="s">
        <v>20</v>
      </c>
      <c r="I129" s="4">
        <v>0</v>
      </c>
      <c r="J129" s="3" t="s">
        <v>20</v>
      </c>
    </row>
    <row r="130" spans="1:10" x14ac:dyDescent="0.25">
      <c r="A130" s="3" t="s">
        <v>71</v>
      </c>
      <c r="B130" s="3" t="s">
        <v>0</v>
      </c>
      <c r="C130" s="3" t="s">
        <v>22</v>
      </c>
      <c r="D130" s="4">
        <v>9.3410000000000007E-2</v>
      </c>
      <c r="E130" s="4">
        <v>2790</v>
      </c>
      <c r="F130" s="4">
        <v>260.6139</v>
      </c>
      <c r="G130" s="4">
        <v>0.10424556</v>
      </c>
      <c r="H130" s="3" t="s">
        <v>20</v>
      </c>
      <c r="I130" s="4">
        <v>-2.6225999999999998</v>
      </c>
      <c r="J130" s="3" t="s">
        <v>20</v>
      </c>
    </row>
    <row r="131" spans="1:10" x14ac:dyDescent="0.25">
      <c r="A131" s="3" t="s">
        <v>71</v>
      </c>
      <c r="B131" s="3" t="s">
        <v>0</v>
      </c>
      <c r="C131" s="3" t="s">
        <v>22</v>
      </c>
      <c r="D131" s="4">
        <v>9.3399999999999997E-2</v>
      </c>
      <c r="E131" s="4">
        <v>55</v>
      </c>
      <c r="F131" s="4">
        <v>5.1369999999999996</v>
      </c>
      <c r="G131" s="4">
        <v>2.0547899999999999E-3</v>
      </c>
      <c r="H131" s="3" t="s">
        <v>20</v>
      </c>
      <c r="I131" s="4">
        <v>-5.1150000000000001E-2</v>
      </c>
      <c r="J131" s="3" t="s">
        <v>20</v>
      </c>
    </row>
    <row r="132" spans="1:10" x14ac:dyDescent="0.25">
      <c r="A132" s="3" t="s">
        <v>71</v>
      </c>
      <c r="B132" s="3" t="s">
        <v>0</v>
      </c>
      <c r="C132" s="3" t="s">
        <v>22</v>
      </c>
      <c r="D132" s="4">
        <v>9.3399999999999997E-2</v>
      </c>
      <c r="E132" s="4">
        <v>1</v>
      </c>
      <c r="F132" s="4">
        <v>9.3399999999999997E-2</v>
      </c>
      <c r="G132" s="4">
        <v>3.7360000000000001E-5</v>
      </c>
      <c r="H132" s="3" t="s">
        <v>20</v>
      </c>
      <c r="I132" s="4">
        <v>-9.3000000000000005E-4</v>
      </c>
      <c r="J132" s="3" t="s">
        <v>20</v>
      </c>
    </row>
    <row r="133" spans="1:10" x14ac:dyDescent="0.25">
      <c r="A133" s="3" t="s">
        <v>71</v>
      </c>
      <c r="B133" s="3" t="s">
        <v>0</v>
      </c>
      <c r="C133" s="3" t="s">
        <v>22</v>
      </c>
      <c r="D133" s="4">
        <v>9.3399999999999997E-2</v>
      </c>
      <c r="E133" s="4">
        <v>1</v>
      </c>
      <c r="F133" s="4">
        <v>9.3399999999999997E-2</v>
      </c>
      <c r="G133" s="4">
        <v>3.7360000000000001E-5</v>
      </c>
      <c r="H133" s="3" t="s">
        <v>20</v>
      </c>
      <c r="I133" s="4">
        <v>-9.3000000000000005E-4</v>
      </c>
      <c r="J133" s="3" t="s">
        <v>20</v>
      </c>
    </row>
    <row r="134" spans="1:10" x14ac:dyDescent="0.25">
      <c r="A134" s="3" t="s">
        <v>71</v>
      </c>
      <c r="B134" s="3" t="s">
        <v>0</v>
      </c>
      <c r="C134" s="3" t="s">
        <v>22</v>
      </c>
      <c r="D134" s="4">
        <v>9.3399999999999997E-2</v>
      </c>
      <c r="E134" s="4">
        <v>214</v>
      </c>
      <c r="F134" s="4">
        <v>19.9876</v>
      </c>
      <c r="G134" s="4">
        <v>7.9950400000000001E-3</v>
      </c>
      <c r="H134" s="3" t="s">
        <v>20</v>
      </c>
      <c r="I134" s="4">
        <v>-0.19902</v>
      </c>
      <c r="J134" s="3" t="s">
        <v>20</v>
      </c>
    </row>
    <row r="135" spans="1:10" x14ac:dyDescent="0.25">
      <c r="A135" s="3" t="s">
        <v>71</v>
      </c>
      <c r="B135" s="3" t="s">
        <v>0</v>
      </c>
      <c r="C135" s="3" t="s">
        <v>22</v>
      </c>
      <c r="D135" s="4">
        <v>9.3380000000000005E-2</v>
      </c>
      <c r="E135" s="4">
        <v>30</v>
      </c>
      <c r="F135" s="4">
        <v>2.8014000000000001</v>
      </c>
      <c r="G135" s="4">
        <v>1.1205500000000001E-3</v>
      </c>
      <c r="H135" s="3" t="s">
        <v>20</v>
      </c>
      <c r="I135" s="4">
        <v>-2.7300000000000001E-2</v>
      </c>
      <c r="J135" s="3" t="s">
        <v>20</v>
      </c>
    </row>
    <row r="136" spans="1:10" x14ac:dyDescent="0.25">
      <c r="A136" s="3" t="s">
        <v>72</v>
      </c>
      <c r="B136" s="3" t="s">
        <v>0</v>
      </c>
      <c r="C136" s="3" t="s">
        <v>19</v>
      </c>
      <c r="D136" s="4">
        <v>9.2469999999999997E-2</v>
      </c>
      <c r="E136" s="4">
        <v>3091</v>
      </c>
      <c r="F136" s="4">
        <v>285.82477</v>
      </c>
      <c r="G136" s="4">
        <v>0.1143299</v>
      </c>
      <c r="H136" s="3" t="s">
        <v>20</v>
      </c>
      <c r="I136" s="4">
        <v>0</v>
      </c>
      <c r="J136" s="3" t="s">
        <v>20</v>
      </c>
    </row>
    <row r="137" spans="1:10" x14ac:dyDescent="0.25">
      <c r="A137" s="3" t="s">
        <v>73</v>
      </c>
      <c r="B137" s="3" t="s">
        <v>0</v>
      </c>
      <c r="C137" s="3" t="s">
        <v>19</v>
      </c>
      <c r="D137" s="4">
        <v>9.2469999999999997E-2</v>
      </c>
      <c r="E137" s="4">
        <v>3122</v>
      </c>
      <c r="F137" s="4">
        <v>288.69134000000003</v>
      </c>
      <c r="G137" s="4">
        <v>0.11547652999999999</v>
      </c>
      <c r="H137" s="3" t="s">
        <v>20</v>
      </c>
      <c r="I137" s="4">
        <v>2.68492</v>
      </c>
      <c r="J137" s="3" t="s">
        <v>20</v>
      </c>
    </row>
    <row r="138" spans="1:10" x14ac:dyDescent="0.25">
      <c r="A138" s="3" t="s">
        <v>74</v>
      </c>
      <c r="B138" s="3" t="s">
        <v>0</v>
      </c>
      <c r="C138" s="3" t="s">
        <v>22</v>
      </c>
      <c r="D138" s="4">
        <v>9.1609999999999997E-2</v>
      </c>
      <c r="E138" s="4">
        <v>3122</v>
      </c>
      <c r="F138" s="4">
        <v>286.00641999999999</v>
      </c>
      <c r="G138" s="4">
        <v>0.11440256</v>
      </c>
      <c r="H138" s="3" t="s">
        <v>20</v>
      </c>
      <c r="I138" s="4">
        <v>0</v>
      </c>
      <c r="J138" s="3" t="s">
        <v>20</v>
      </c>
    </row>
    <row r="139" spans="1:10" x14ac:dyDescent="0.25">
      <c r="A139" s="3" t="s">
        <v>75</v>
      </c>
      <c r="B139" s="3" t="s">
        <v>0</v>
      </c>
      <c r="C139" s="3" t="s">
        <v>22</v>
      </c>
      <c r="D139" s="4">
        <v>9.1619999999999993E-2</v>
      </c>
      <c r="E139" s="4">
        <v>3089</v>
      </c>
      <c r="F139" s="4">
        <v>283.01418000000001</v>
      </c>
      <c r="G139" s="4">
        <v>0.11320566999999999</v>
      </c>
      <c r="H139" s="3" t="s">
        <v>20</v>
      </c>
      <c r="I139" s="4">
        <v>2.5329799999999998</v>
      </c>
      <c r="J139" s="3" t="s">
        <v>20</v>
      </c>
    </row>
    <row r="140" spans="1:10" x14ac:dyDescent="0.25">
      <c r="A140" s="3" t="s">
        <v>76</v>
      </c>
      <c r="B140" s="3" t="s">
        <v>0</v>
      </c>
      <c r="C140" s="3" t="s">
        <v>19</v>
      </c>
      <c r="D140" s="4">
        <v>9.2439999999999994E-2</v>
      </c>
      <c r="E140" s="4">
        <v>3089</v>
      </c>
      <c r="F140" s="4">
        <v>285.54716000000002</v>
      </c>
      <c r="G140" s="4">
        <v>0.11421886000000001</v>
      </c>
      <c r="H140" s="3" t="s">
        <v>20</v>
      </c>
      <c r="I140" s="4">
        <v>0</v>
      </c>
      <c r="J140" s="3" t="s">
        <v>20</v>
      </c>
    </row>
    <row r="141" spans="1:10" x14ac:dyDescent="0.25">
      <c r="A141" s="3" t="s">
        <v>77</v>
      </c>
      <c r="B141" s="3" t="s">
        <v>0</v>
      </c>
      <c r="C141" s="3" t="s">
        <v>19</v>
      </c>
      <c r="D141" s="4">
        <v>9.2230000000000006E-2</v>
      </c>
      <c r="E141" s="4">
        <v>3064</v>
      </c>
      <c r="F141" s="4">
        <v>282.59271999999999</v>
      </c>
      <c r="G141" s="4">
        <v>0.11303708</v>
      </c>
      <c r="H141" s="3" t="s">
        <v>20</v>
      </c>
      <c r="I141" s="4">
        <v>-3.2478400000000001</v>
      </c>
      <c r="J141" s="3" t="s">
        <v>20</v>
      </c>
    </row>
    <row r="142" spans="1:10" x14ac:dyDescent="0.25">
      <c r="A142" s="3" t="s">
        <v>78</v>
      </c>
      <c r="B142" s="3" t="s">
        <v>2</v>
      </c>
      <c r="C142" s="3" t="s">
        <v>19</v>
      </c>
      <c r="D142" s="4">
        <v>2.4060000000000001</v>
      </c>
      <c r="E142" s="4">
        <v>118.6</v>
      </c>
      <c r="F142" s="4">
        <v>285.35160000000002</v>
      </c>
      <c r="G142" s="4">
        <v>0.11414064</v>
      </c>
      <c r="H142" s="3" t="s">
        <v>20</v>
      </c>
      <c r="I142" s="4">
        <v>0</v>
      </c>
      <c r="J142" s="3" t="s">
        <v>20</v>
      </c>
    </row>
    <row r="143" spans="1:10" x14ac:dyDescent="0.25">
      <c r="A143" s="3" t="s">
        <v>79</v>
      </c>
      <c r="B143" s="3" t="s">
        <v>0</v>
      </c>
      <c r="C143" s="3" t="s">
        <v>22</v>
      </c>
      <c r="D143" s="4">
        <v>9.3289999999999998E-2</v>
      </c>
      <c r="E143" s="4">
        <v>3064</v>
      </c>
      <c r="F143" s="4">
        <v>285.84055999999998</v>
      </c>
      <c r="G143" s="4">
        <v>0.11433622</v>
      </c>
      <c r="H143" s="3" t="s">
        <v>20</v>
      </c>
      <c r="I143" s="4">
        <v>0</v>
      </c>
      <c r="J143" s="3" t="s">
        <v>20</v>
      </c>
    </row>
    <row r="144" spans="1:10" x14ac:dyDescent="0.25">
      <c r="A144" s="3" t="s">
        <v>80</v>
      </c>
      <c r="B144" s="3" t="s">
        <v>0</v>
      </c>
      <c r="C144" s="3" t="s">
        <v>22</v>
      </c>
      <c r="D144" s="4">
        <v>9.3289999999999998E-2</v>
      </c>
      <c r="E144" s="4">
        <v>3085</v>
      </c>
      <c r="F144" s="4">
        <v>287.79964999999999</v>
      </c>
      <c r="G144" s="4">
        <v>0.11511985</v>
      </c>
      <c r="H144" s="3" t="s">
        <v>20</v>
      </c>
      <c r="I144" s="4">
        <v>-1.7657799999999999</v>
      </c>
      <c r="J144" s="3" t="s">
        <v>20</v>
      </c>
    </row>
    <row r="145" spans="1:10" x14ac:dyDescent="0.25">
      <c r="A145" s="3" t="s">
        <v>81</v>
      </c>
      <c r="B145" s="3" t="s">
        <v>0</v>
      </c>
      <c r="C145" s="3" t="s">
        <v>19</v>
      </c>
      <c r="D145" s="4">
        <v>9.2710000000000001E-2</v>
      </c>
      <c r="E145" s="4">
        <v>733</v>
      </c>
      <c r="F145" s="4">
        <v>67.956429999999997</v>
      </c>
      <c r="G145" s="4">
        <v>2.718257E-2</v>
      </c>
      <c r="H145" s="3" t="s">
        <v>20</v>
      </c>
      <c r="I145" s="4">
        <v>0</v>
      </c>
      <c r="J145" s="3" t="s">
        <v>20</v>
      </c>
    </row>
    <row r="146" spans="1:10" x14ac:dyDescent="0.25">
      <c r="A146" s="3" t="s">
        <v>81</v>
      </c>
      <c r="B146" s="3" t="s">
        <v>0</v>
      </c>
      <c r="C146" s="3" t="s">
        <v>19</v>
      </c>
      <c r="D146" s="4">
        <v>9.2719999999999997E-2</v>
      </c>
      <c r="E146" s="4">
        <v>42</v>
      </c>
      <c r="F146" s="4">
        <v>3.8942399999999999</v>
      </c>
      <c r="G146" s="4">
        <v>1.55769E-3</v>
      </c>
      <c r="H146" s="3" t="s">
        <v>20</v>
      </c>
      <c r="I146" s="4">
        <v>0</v>
      </c>
      <c r="J146" s="3" t="s">
        <v>20</v>
      </c>
    </row>
    <row r="147" spans="1:10" x14ac:dyDescent="0.25">
      <c r="A147" s="3" t="s">
        <v>81</v>
      </c>
      <c r="B147" s="3" t="s">
        <v>0</v>
      </c>
      <c r="C147" s="3" t="s">
        <v>19</v>
      </c>
      <c r="D147" s="4">
        <v>9.2719999999999997E-2</v>
      </c>
      <c r="E147" s="4">
        <v>2310</v>
      </c>
      <c r="F147" s="4">
        <v>214.1832</v>
      </c>
      <c r="G147" s="4">
        <v>8.5673280000000004E-2</v>
      </c>
      <c r="H147" s="3" t="s">
        <v>20</v>
      </c>
      <c r="I147" s="4">
        <v>0</v>
      </c>
      <c r="J147" s="3" t="s">
        <v>20</v>
      </c>
    </row>
    <row r="148" spans="1:10" x14ac:dyDescent="0.25">
      <c r="A148" s="3" t="s">
        <v>82</v>
      </c>
      <c r="B148" s="3" t="s">
        <v>0</v>
      </c>
      <c r="C148" s="3" t="s">
        <v>19</v>
      </c>
      <c r="D148" s="4">
        <v>9.2730000000000007E-2</v>
      </c>
      <c r="E148" s="4">
        <v>3056</v>
      </c>
      <c r="F148" s="4">
        <v>283.38288</v>
      </c>
      <c r="G148" s="4">
        <v>0.11335315</v>
      </c>
      <c r="H148" s="3" t="s">
        <v>20</v>
      </c>
      <c r="I148" s="4">
        <v>-3.02542</v>
      </c>
      <c r="J148" s="3" t="s">
        <v>20</v>
      </c>
    </row>
    <row r="149" spans="1:10" x14ac:dyDescent="0.25">
      <c r="A149" s="3" t="s">
        <v>83</v>
      </c>
      <c r="B149" s="3" t="s">
        <v>0</v>
      </c>
      <c r="C149" s="3" t="s">
        <v>22</v>
      </c>
      <c r="D149" s="4">
        <v>9.3719999999999998E-2</v>
      </c>
      <c r="E149" s="4">
        <v>3054</v>
      </c>
      <c r="F149" s="4">
        <v>286.22088000000002</v>
      </c>
      <c r="G149" s="4">
        <v>0.11448835</v>
      </c>
      <c r="H149" s="3" t="s">
        <v>20</v>
      </c>
      <c r="I149" s="4">
        <v>0</v>
      </c>
      <c r="J149" s="3" t="s">
        <v>20</v>
      </c>
    </row>
    <row r="150" spans="1:10" x14ac:dyDescent="0.25">
      <c r="A150" s="3" t="s">
        <v>83</v>
      </c>
      <c r="B150" s="3" t="s">
        <v>0</v>
      </c>
      <c r="C150" s="3" t="s">
        <v>22</v>
      </c>
      <c r="D150" s="4">
        <v>9.3710000000000002E-2</v>
      </c>
      <c r="E150" s="4">
        <v>2</v>
      </c>
      <c r="F150" s="4">
        <v>0.18742</v>
      </c>
      <c r="G150" s="4">
        <v>7.4960000000000001E-5</v>
      </c>
      <c r="H150" s="3" t="s">
        <v>20</v>
      </c>
      <c r="I150" s="4">
        <v>0</v>
      </c>
      <c r="J150" s="3" t="s">
        <v>20</v>
      </c>
    </row>
    <row r="151" spans="1:10" x14ac:dyDescent="0.25">
      <c r="A151" s="3" t="s">
        <v>84</v>
      </c>
      <c r="B151" s="3" t="s">
        <v>0</v>
      </c>
      <c r="C151" s="3" t="s">
        <v>22</v>
      </c>
      <c r="D151" s="4">
        <v>9.3759999999999996E-2</v>
      </c>
      <c r="E151" s="4">
        <v>3073</v>
      </c>
      <c r="F151" s="4">
        <v>288.12448000000001</v>
      </c>
      <c r="G151" s="4">
        <v>0.11524979</v>
      </c>
      <c r="H151" s="3" t="s">
        <v>20</v>
      </c>
      <c r="I151" s="4">
        <v>-1.6271904800000001</v>
      </c>
      <c r="J151" s="3" t="s">
        <v>20</v>
      </c>
    </row>
    <row r="152" spans="1:10" x14ac:dyDescent="0.25">
      <c r="A152" s="3" t="s">
        <v>84</v>
      </c>
      <c r="B152" s="3" t="s">
        <v>0</v>
      </c>
      <c r="C152" s="3" t="s">
        <v>22</v>
      </c>
      <c r="D152" s="4">
        <v>9.3740000000000004E-2</v>
      </c>
      <c r="E152" s="4">
        <v>1</v>
      </c>
      <c r="F152" s="4">
        <v>9.3740000000000004E-2</v>
      </c>
      <c r="G152" s="4">
        <v>3.7490000000000002E-5</v>
      </c>
      <c r="H152" s="3" t="s">
        <v>20</v>
      </c>
      <c r="I152" s="4">
        <v>-5.0951000000000002E-4</v>
      </c>
      <c r="J152" s="3" t="s">
        <v>20</v>
      </c>
    </row>
    <row r="153" spans="1:10" x14ac:dyDescent="0.25">
      <c r="A153" s="3" t="s">
        <v>85</v>
      </c>
      <c r="B153" s="3" t="s">
        <v>0</v>
      </c>
      <c r="C153" s="3" t="s">
        <v>19</v>
      </c>
      <c r="D153" s="4">
        <v>9.3229999999999993E-2</v>
      </c>
      <c r="E153" s="4">
        <v>3024</v>
      </c>
      <c r="F153" s="4">
        <v>281.92752000000002</v>
      </c>
      <c r="G153" s="4">
        <v>0.112771</v>
      </c>
      <c r="H153" s="3" t="s">
        <v>20</v>
      </c>
      <c r="I153" s="4">
        <v>0</v>
      </c>
      <c r="J153" s="3" t="s">
        <v>20</v>
      </c>
    </row>
    <row r="154" spans="1:10" x14ac:dyDescent="0.25">
      <c r="A154" s="2" t="s">
        <v>85</v>
      </c>
      <c r="B154" s="2" t="s">
        <v>0</v>
      </c>
      <c r="C154" s="2" t="s">
        <v>19</v>
      </c>
      <c r="D154" s="5">
        <v>9.3259999999999996E-2</v>
      </c>
      <c r="E154" s="5">
        <v>50</v>
      </c>
      <c r="F154" s="5">
        <v>4.6630000000000003</v>
      </c>
      <c r="G154" s="5">
        <v>1.8652E-3</v>
      </c>
      <c r="H154" s="2" t="s">
        <v>20</v>
      </c>
      <c r="I154" s="5">
        <v>0</v>
      </c>
      <c r="J154" s="2" t="s">
        <v>20</v>
      </c>
    </row>
    <row r="155" spans="1:10" x14ac:dyDescent="0.25">
      <c r="A155" s="2" t="s">
        <v>86</v>
      </c>
      <c r="B155" s="2" t="s">
        <v>0</v>
      </c>
      <c r="C155" s="2" t="s">
        <v>19</v>
      </c>
      <c r="D155" s="5">
        <v>9.3229999999999993E-2</v>
      </c>
      <c r="E155" s="5">
        <v>2209</v>
      </c>
      <c r="F155" s="5">
        <v>205.94506999999999</v>
      </c>
      <c r="G155" s="5">
        <v>8.2378019999999996E-2</v>
      </c>
      <c r="H155" s="2" t="s">
        <v>20</v>
      </c>
      <c r="I155" s="5">
        <v>9.0348100000000002</v>
      </c>
      <c r="J155" s="2" t="s">
        <v>20</v>
      </c>
    </row>
    <row r="156" spans="1:10" x14ac:dyDescent="0.25">
      <c r="A156" s="2" t="s">
        <v>86</v>
      </c>
      <c r="B156" s="2" t="s">
        <v>0</v>
      </c>
      <c r="C156" s="2" t="s">
        <v>19</v>
      </c>
      <c r="D156" s="5">
        <v>9.3259999999999996E-2</v>
      </c>
      <c r="E156" s="5">
        <v>990</v>
      </c>
      <c r="F156" s="5">
        <v>92.327399999999997</v>
      </c>
      <c r="G156" s="5">
        <v>3.6930959999999999E-2</v>
      </c>
      <c r="H156" s="2" t="s">
        <v>20</v>
      </c>
      <c r="I156" s="5">
        <v>4.0788000000000002</v>
      </c>
      <c r="J156" s="2" t="s">
        <v>20</v>
      </c>
    </row>
    <row r="157" spans="1:10" x14ac:dyDescent="0.25">
      <c r="A157" s="2" t="s">
        <v>87</v>
      </c>
      <c r="B157" s="2" t="s">
        <v>0</v>
      </c>
      <c r="C157" s="2" t="s">
        <v>22</v>
      </c>
      <c r="D157" s="5">
        <v>8.9139999999999997E-2</v>
      </c>
      <c r="E157" s="5">
        <v>3199</v>
      </c>
      <c r="F157" s="5">
        <v>285.15886</v>
      </c>
      <c r="G157" s="5">
        <v>0.11406354</v>
      </c>
      <c r="H157" s="2" t="s">
        <v>20</v>
      </c>
      <c r="I157" s="5">
        <v>0</v>
      </c>
      <c r="J157" s="2" t="s">
        <v>20</v>
      </c>
    </row>
    <row r="158" spans="1:10" x14ac:dyDescent="0.25">
      <c r="A158" s="2" t="s">
        <v>88</v>
      </c>
      <c r="B158" s="2" t="s">
        <v>0</v>
      </c>
      <c r="C158" s="2" t="s">
        <v>22</v>
      </c>
      <c r="D158" s="5">
        <v>8.9160000000000003E-2</v>
      </c>
      <c r="E158" s="5">
        <v>3239</v>
      </c>
      <c r="F158" s="5">
        <v>288.78924000000001</v>
      </c>
      <c r="G158" s="5">
        <v>0.11551569</v>
      </c>
      <c r="H158" s="2" t="s">
        <v>20</v>
      </c>
      <c r="I158" s="5">
        <v>-3.4333399999999998</v>
      </c>
      <c r="J158" s="2" t="s">
        <v>20</v>
      </c>
    </row>
    <row r="159" spans="1:10" x14ac:dyDescent="0.25">
      <c r="A159" s="2" t="s">
        <v>89</v>
      </c>
      <c r="B159" s="2" t="s">
        <v>0</v>
      </c>
      <c r="C159" s="2" t="s">
        <v>19</v>
      </c>
      <c r="D159" s="5">
        <v>8.8099999999999998E-2</v>
      </c>
      <c r="E159" s="5">
        <v>3239</v>
      </c>
      <c r="F159" s="5">
        <v>285.35590000000002</v>
      </c>
      <c r="G159" s="5">
        <v>0.11414236</v>
      </c>
      <c r="H159" s="2" t="s">
        <v>20</v>
      </c>
      <c r="I159" s="5">
        <v>0</v>
      </c>
      <c r="J159" s="2" t="s">
        <v>20</v>
      </c>
    </row>
    <row r="160" spans="1:10" x14ac:dyDescent="0.25">
      <c r="A160" s="2" t="s">
        <v>90</v>
      </c>
      <c r="B160" s="2" t="s">
        <v>0</v>
      </c>
      <c r="C160" s="2" t="s">
        <v>19</v>
      </c>
      <c r="D160" s="5">
        <v>8.8039999999999993E-2</v>
      </c>
      <c r="E160" s="5">
        <v>3209</v>
      </c>
      <c r="F160" s="5">
        <v>282.52035999999998</v>
      </c>
      <c r="G160" s="5">
        <v>0.11300814000000001</v>
      </c>
      <c r="H160" s="2" t="s">
        <v>20</v>
      </c>
      <c r="I160" s="5">
        <v>-3.1893399900000001</v>
      </c>
      <c r="J160" s="2" t="s">
        <v>20</v>
      </c>
    </row>
    <row r="161" spans="1:10" x14ac:dyDescent="0.25">
      <c r="A161" s="2" t="s">
        <v>91</v>
      </c>
      <c r="B161" s="2" t="s">
        <v>0</v>
      </c>
      <c r="C161" s="2" t="s">
        <v>22</v>
      </c>
      <c r="D161" s="5">
        <v>8.9039999999999994E-2</v>
      </c>
      <c r="E161" s="5">
        <v>2815</v>
      </c>
      <c r="F161" s="5">
        <v>250.64760000000001</v>
      </c>
      <c r="G161" s="5">
        <v>0.10025903</v>
      </c>
      <c r="H161" s="2" t="s">
        <v>20</v>
      </c>
      <c r="I161" s="5">
        <v>0</v>
      </c>
      <c r="J161" s="2" t="s">
        <v>20</v>
      </c>
    </row>
    <row r="162" spans="1:10" x14ac:dyDescent="0.25">
      <c r="A162" s="2" t="s">
        <v>91</v>
      </c>
      <c r="B162" s="2" t="s">
        <v>0</v>
      </c>
      <c r="C162" s="2" t="s">
        <v>22</v>
      </c>
      <c r="D162" s="5">
        <v>8.9029999999999998E-2</v>
      </c>
      <c r="E162" s="5">
        <v>1</v>
      </c>
      <c r="F162" s="5">
        <v>8.9029999999999998E-2</v>
      </c>
      <c r="G162" s="5">
        <v>3.561E-5</v>
      </c>
      <c r="H162" s="2" t="s">
        <v>20</v>
      </c>
      <c r="I162" s="5">
        <v>0</v>
      </c>
      <c r="J162" s="2" t="s">
        <v>20</v>
      </c>
    </row>
    <row r="163" spans="1:10" x14ac:dyDescent="0.25">
      <c r="A163" s="2" t="s">
        <v>91</v>
      </c>
      <c r="B163" s="2" t="s">
        <v>0</v>
      </c>
      <c r="C163" s="2" t="s">
        <v>22</v>
      </c>
      <c r="D163" s="5">
        <v>8.899E-2</v>
      </c>
      <c r="E163" s="5">
        <v>393</v>
      </c>
      <c r="F163" s="5">
        <v>34.97307</v>
      </c>
      <c r="G163" s="5">
        <v>1.398922E-2</v>
      </c>
      <c r="H163" s="2" t="s">
        <v>20</v>
      </c>
      <c r="I163" s="5">
        <v>0</v>
      </c>
      <c r="J163" s="2" t="s">
        <v>20</v>
      </c>
    </row>
    <row r="164" spans="1:10" x14ac:dyDescent="0.25">
      <c r="A164" s="2" t="s">
        <v>92</v>
      </c>
      <c r="B164" s="2" t="s">
        <v>0</v>
      </c>
      <c r="C164" s="2" t="s">
        <v>22</v>
      </c>
      <c r="D164" s="5">
        <v>8.9050000000000004E-2</v>
      </c>
      <c r="E164" s="5">
        <v>3245</v>
      </c>
      <c r="F164" s="5">
        <v>288.96724999999998</v>
      </c>
      <c r="G164" s="5">
        <v>0.11558690000000001</v>
      </c>
      <c r="H164" s="2" t="s">
        <v>20</v>
      </c>
      <c r="I164" s="5">
        <v>-3.1152000000000002</v>
      </c>
      <c r="J164" s="2" t="s">
        <v>20</v>
      </c>
    </row>
    <row r="165" spans="1:10" x14ac:dyDescent="0.25">
      <c r="A165" s="2" t="s">
        <v>93</v>
      </c>
      <c r="B165" s="2" t="s">
        <v>0</v>
      </c>
      <c r="C165" s="2" t="s">
        <v>19</v>
      </c>
      <c r="D165" s="5">
        <v>8.8090000000000002E-2</v>
      </c>
      <c r="E165" s="5">
        <v>3245</v>
      </c>
      <c r="F165" s="5">
        <v>285.85205000000002</v>
      </c>
      <c r="G165" s="5">
        <v>0.11434081</v>
      </c>
      <c r="H165" s="2" t="s">
        <v>20</v>
      </c>
      <c r="I165" s="5">
        <v>0</v>
      </c>
      <c r="J165" s="2" t="s">
        <v>20</v>
      </c>
    </row>
    <row r="166" spans="1:10" x14ac:dyDescent="0.25">
      <c r="A166" s="2" t="s">
        <v>94</v>
      </c>
      <c r="B166" s="2" t="s">
        <v>0</v>
      </c>
      <c r="C166" s="2" t="s">
        <v>19</v>
      </c>
      <c r="D166" s="5">
        <v>8.8069999999999996E-2</v>
      </c>
      <c r="E166" s="5">
        <v>3425</v>
      </c>
      <c r="F166" s="5">
        <v>301.63974999999999</v>
      </c>
      <c r="G166" s="5">
        <v>0.1206559</v>
      </c>
      <c r="H166" s="2" t="s">
        <v>20</v>
      </c>
      <c r="I166" s="5">
        <v>16.337250000000001</v>
      </c>
      <c r="J166" s="2" t="s">
        <v>20</v>
      </c>
    </row>
    <row r="167" spans="1:10" x14ac:dyDescent="0.25">
      <c r="A167" s="2" t="s">
        <v>95</v>
      </c>
      <c r="B167" s="2" t="s">
        <v>1</v>
      </c>
      <c r="C167" s="2" t="s">
        <v>22</v>
      </c>
      <c r="D167" s="5">
        <v>4.6470000000000002</v>
      </c>
      <c r="E167" s="5">
        <v>61.67</v>
      </c>
      <c r="F167" s="5">
        <v>286.58049</v>
      </c>
      <c r="G167" s="5">
        <v>0.11463218999999999</v>
      </c>
      <c r="H167" s="2" t="s">
        <v>20</v>
      </c>
      <c r="I167" s="5">
        <v>0</v>
      </c>
      <c r="J167" s="2" t="s">
        <v>20</v>
      </c>
    </row>
    <row r="168" spans="1:10" x14ac:dyDescent="0.25">
      <c r="A168" s="2" t="s">
        <v>96</v>
      </c>
      <c r="B168" s="2" t="s">
        <v>1</v>
      </c>
      <c r="C168" s="2" t="s">
        <v>22</v>
      </c>
      <c r="D168" s="5">
        <v>4.6449999999999996</v>
      </c>
      <c r="E168" s="5">
        <v>63.03</v>
      </c>
      <c r="F168" s="5">
        <v>292.77435000000003</v>
      </c>
      <c r="G168" s="5">
        <v>0.11710974</v>
      </c>
      <c r="H168" s="2" t="s">
        <v>20</v>
      </c>
      <c r="I168" s="5">
        <v>-7.2471099900000002</v>
      </c>
      <c r="J168" s="2" t="s">
        <v>20</v>
      </c>
    </row>
    <row r="169" spans="1:10" x14ac:dyDescent="0.25">
      <c r="A169" s="2" t="s">
        <v>97</v>
      </c>
      <c r="B169" s="2" t="s">
        <v>4</v>
      </c>
      <c r="C169" s="2" t="s">
        <v>22</v>
      </c>
      <c r="D169" s="5">
        <v>2.4009999999999998</v>
      </c>
      <c r="E169" s="5">
        <v>119.4</v>
      </c>
      <c r="F169" s="5">
        <v>286.67939999999999</v>
      </c>
      <c r="G169" s="5">
        <v>0.11467175</v>
      </c>
      <c r="H169" s="2" t="s">
        <v>20</v>
      </c>
      <c r="I169" s="5">
        <v>0</v>
      </c>
      <c r="J169" s="2" t="s">
        <v>20</v>
      </c>
    </row>
    <row r="170" spans="1:10" x14ac:dyDescent="0.25">
      <c r="A170" s="2" t="s">
        <v>98</v>
      </c>
      <c r="B170" s="2" t="s">
        <v>0</v>
      </c>
      <c r="C170" s="2" t="s">
        <v>22</v>
      </c>
      <c r="D170" s="5">
        <v>8.3299999999999999E-2</v>
      </c>
      <c r="E170" s="5">
        <v>3425</v>
      </c>
      <c r="F170" s="5">
        <v>285.30250000000001</v>
      </c>
      <c r="G170" s="5">
        <v>0.114121</v>
      </c>
      <c r="H170" s="2" t="s">
        <v>20</v>
      </c>
      <c r="I170" s="5">
        <v>0</v>
      </c>
      <c r="J170" s="2" t="s">
        <v>20</v>
      </c>
    </row>
    <row r="171" spans="1:10" x14ac:dyDescent="0.25">
      <c r="A171" s="2" t="s">
        <v>99</v>
      </c>
      <c r="B171" s="2" t="s">
        <v>1</v>
      </c>
      <c r="C171" s="2" t="s">
        <v>19</v>
      </c>
      <c r="D171" s="5">
        <v>4.53</v>
      </c>
      <c r="E171" s="5">
        <v>40.19</v>
      </c>
      <c r="F171" s="5">
        <v>182.0607</v>
      </c>
      <c r="G171" s="5">
        <v>7.2824280000000005E-2</v>
      </c>
      <c r="H171" s="2" t="s">
        <v>20</v>
      </c>
      <c r="I171" s="5">
        <v>0</v>
      </c>
      <c r="J171" s="2" t="s">
        <v>20</v>
      </c>
    </row>
    <row r="172" spans="1:10" x14ac:dyDescent="0.25">
      <c r="A172" s="2" t="s">
        <v>99</v>
      </c>
      <c r="B172" s="2" t="s">
        <v>1</v>
      </c>
      <c r="C172" s="2" t="s">
        <v>19</v>
      </c>
      <c r="D172" s="5">
        <v>4.53</v>
      </c>
      <c r="E172" s="5">
        <v>0.1</v>
      </c>
      <c r="F172" s="5">
        <v>0.45300000000000001</v>
      </c>
      <c r="G172" s="5">
        <v>1.8120000000000001E-4</v>
      </c>
      <c r="H172" s="2" t="s">
        <v>20</v>
      </c>
      <c r="I172" s="5">
        <v>0</v>
      </c>
      <c r="J172" s="2" t="s">
        <v>20</v>
      </c>
    </row>
    <row r="173" spans="1:10" x14ac:dyDescent="0.25">
      <c r="A173" s="2" t="s">
        <v>99</v>
      </c>
      <c r="B173" s="2" t="s">
        <v>1</v>
      </c>
      <c r="C173" s="2" t="s">
        <v>19</v>
      </c>
      <c r="D173" s="5">
        <v>4.53</v>
      </c>
      <c r="E173" s="5">
        <v>22.07</v>
      </c>
      <c r="F173" s="5">
        <v>99.977099999999993</v>
      </c>
      <c r="G173" s="5">
        <v>3.9990829999999998E-2</v>
      </c>
      <c r="H173" s="2" t="s">
        <v>20</v>
      </c>
      <c r="I173" s="5">
        <v>0</v>
      </c>
      <c r="J173" s="2" t="s">
        <v>20</v>
      </c>
    </row>
    <row r="174" spans="1:10" x14ac:dyDescent="0.25">
      <c r="A174" s="2" t="s">
        <v>99</v>
      </c>
      <c r="B174" s="2" t="s">
        <v>1</v>
      </c>
      <c r="C174" s="2" t="s">
        <v>19</v>
      </c>
      <c r="D174" s="5">
        <v>4.532</v>
      </c>
      <c r="E174" s="5">
        <v>0.13</v>
      </c>
      <c r="F174" s="5">
        <v>0.58916000000000002</v>
      </c>
      <c r="G174" s="5">
        <v>2.3566E-4</v>
      </c>
      <c r="H174" s="2" t="s">
        <v>20</v>
      </c>
      <c r="I174" s="5">
        <v>0</v>
      </c>
      <c r="J174" s="2" t="s">
        <v>20</v>
      </c>
    </row>
    <row r="175" spans="1:10" x14ac:dyDescent="0.25">
      <c r="A175" s="2" t="s">
        <v>99</v>
      </c>
      <c r="B175" s="2" t="s">
        <v>1</v>
      </c>
      <c r="C175" s="2" t="s">
        <v>19</v>
      </c>
      <c r="D175" s="5">
        <v>4.532</v>
      </c>
      <c r="E175" s="5">
        <v>0.2</v>
      </c>
      <c r="F175" s="5">
        <v>0.90639999999999998</v>
      </c>
      <c r="G175" s="5">
        <v>3.6256E-4</v>
      </c>
      <c r="H175" s="2" t="s">
        <v>20</v>
      </c>
      <c r="I175" s="5">
        <v>0</v>
      </c>
      <c r="J175" s="2" t="s">
        <v>20</v>
      </c>
    </row>
    <row r="176" spans="1:10" x14ac:dyDescent="0.25">
      <c r="A176" s="2" t="s">
        <v>99</v>
      </c>
      <c r="B176" s="2" t="s">
        <v>1</v>
      </c>
      <c r="C176" s="2" t="s">
        <v>19</v>
      </c>
      <c r="D176" s="5">
        <v>4.532</v>
      </c>
      <c r="E176" s="5">
        <v>0.14000000000000001</v>
      </c>
      <c r="F176" s="5">
        <v>0.63448000000000004</v>
      </c>
      <c r="G176" s="5">
        <v>2.5378999999999999E-4</v>
      </c>
      <c r="H176" s="2" t="s">
        <v>20</v>
      </c>
      <c r="I176" s="5">
        <v>0</v>
      </c>
      <c r="J176" s="2" t="s">
        <v>20</v>
      </c>
    </row>
    <row r="177" spans="1:10" x14ac:dyDescent="0.25">
      <c r="A177" s="2" t="s">
        <v>99</v>
      </c>
      <c r="B177" s="2" t="s">
        <v>1</v>
      </c>
      <c r="C177" s="2" t="s">
        <v>19</v>
      </c>
      <c r="D177" s="5">
        <v>4.532</v>
      </c>
      <c r="E177" s="5">
        <v>0.1</v>
      </c>
      <c r="F177" s="5">
        <v>0.45319999999999999</v>
      </c>
      <c r="G177" s="5">
        <v>1.8128E-4</v>
      </c>
      <c r="H177" s="2" t="s">
        <v>20</v>
      </c>
      <c r="I177" s="5">
        <v>0</v>
      </c>
      <c r="J177" s="2" t="s">
        <v>20</v>
      </c>
    </row>
    <row r="178" spans="1:10" x14ac:dyDescent="0.25">
      <c r="A178" s="2" t="s">
        <v>99</v>
      </c>
      <c r="B178" s="2" t="s">
        <v>1</v>
      </c>
      <c r="C178" s="2" t="s">
        <v>19</v>
      </c>
      <c r="D178" s="5">
        <v>4.532</v>
      </c>
      <c r="E178" s="5">
        <v>0.1</v>
      </c>
      <c r="F178" s="5">
        <v>0.45319999999999999</v>
      </c>
      <c r="G178" s="5">
        <v>1.8128E-4</v>
      </c>
      <c r="H178" s="2" t="s">
        <v>20</v>
      </c>
      <c r="I178" s="5">
        <v>0</v>
      </c>
      <c r="J178" s="2" t="s">
        <v>20</v>
      </c>
    </row>
    <row r="179" spans="1:10" x14ac:dyDescent="0.25">
      <c r="A179" s="2" t="s">
        <v>100</v>
      </c>
      <c r="B179" s="2" t="s">
        <v>6</v>
      </c>
      <c r="C179" s="2" t="s">
        <v>19</v>
      </c>
      <c r="D179" s="5">
        <v>0.17369999999999999</v>
      </c>
      <c r="E179" s="5">
        <v>1645.1</v>
      </c>
      <c r="F179" s="5">
        <v>285.75387000000001</v>
      </c>
      <c r="G179" s="5">
        <v>0.11430153999999999</v>
      </c>
      <c r="H179" s="2" t="s">
        <v>20</v>
      </c>
      <c r="I179" s="5">
        <v>0</v>
      </c>
      <c r="J179" s="2" t="s">
        <v>20</v>
      </c>
    </row>
    <row r="180" spans="1:10" x14ac:dyDescent="0.25">
      <c r="A180" s="2" t="s">
        <v>101</v>
      </c>
      <c r="B180" s="2" t="s">
        <v>3</v>
      </c>
      <c r="C180" s="2" t="s">
        <v>22</v>
      </c>
      <c r="D180" s="5">
        <v>225.16</v>
      </c>
      <c r="E180" s="5">
        <v>0.02</v>
      </c>
      <c r="F180" s="5">
        <v>4.5031999999999996</v>
      </c>
      <c r="G180" s="5">
        <v>9.0063000000000003E-4</v>
      </c>
      <c r="H180" s="2" t="s">
        <v>20</v>
      </c>
      <c r="I180" s="5">
        <v>-7.7999999999999996E-3</v>
      </c>
      <c r="J180" s="2" t="s">
        <v>20</v>
      </c>
    </row>
    <row r="181" spans="1:10" x14ac:dyDescent="0.25">
      <c r="A181" s="2" t="s">
        <v>101</v>
      </c>
      <c r="B181" s="2" t="s">
        <v>3</v>
      </c>
      <c r="C181" s="2" t="s">
        <v>22</v>
      </c>
      <c r="D181" s="5">
        <v>225.16</v>
      </c>
      <c r="E181" s="5">
        <v>0.108</v>
      </c>
      <c r="F181" s="5">
        <v>24.31728</v>
      </c>
      <c r="G181" s="5">
        <v>4.8634500000000001E-3</v>
      </c>
      <c r="H181" s="2" t="s">
        <v>20</v>
      </c>
      <c r="I181" s="5">
        <v>-4.2119999999999998E-2</v>
      </c>
      <c r="J181" s="2" t="s">
        <v>20</v>
      </c>
    </row>
    <row r="182" spans="1:10" x14ac:dyDescent="0.25">
      <c r="A182" s="2" t="s">
        <v>102</v>
      </c>
      <c r="B182" s="2" t="s">
        <v>3</v>
      </c>
      <c r="C182" s="2" t="s">
        <v>22</v>
      </c>
      <c r="D182" s="5">
        <v>225.16</v>
      </c>
      <c r="E182" s="5">
        <v>1.4E-2</v>
      </c>
      <c r="F182" s="5">
        <v>3.1522399999999999</v>
      </c>
      <c r="G182" s="5">
        <v>1.26089E-3</v>
      </c>
      <c r="H182" s="2" t="s">
        <v>20</v>
      </c>
      <c r="I182" s="5">
        <v>-5.4599999999999996E-3</v>
      </c>
      <c r="J182" s="2" t="s">
        <v>20</v>
      </c>
    </row>
    <row r="183" spans="1:10" x14ac:dyDescent="0.25">
      <c r="A183" s="2" t="s">
        <v>102</v>
      </c>
      <c r="B183" s="2" t="s">
        <v>3</v>
      </c>
      <c r="C183" s="2" t="s">
        <v>22</v>
      </c>
      <c r="D183" s="5">
        <v>225.16</v>
      </c>
      <c r="E183" s="5">
        <v>0.01</v>
      </c>
      <c r="F183" s="5">
        <v>2.2515999999999998</v>
      </c>
      <c r="G183" s="5">
        <v>9.0063000000000003E-4</v>
      </c>
      <c r="H183" s="2" t="s">
        <v>20</v>
      </c>
      <c r="I183" s="5">
        <v>-3.8999999999999998E-3</v>
      </c>
      <c r="J183" s="2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Steps</vt:lpstr>
      <vt:lpstr>Main</vt:lpstr>
      <vt:lpstr>Paste_Trade_Hist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2020-07-02T19:08:16Z</dcterms:modified>
</cp:coreProperties>
</file>